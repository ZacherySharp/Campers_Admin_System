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PC\OneDrive\Desktop\Desktop\Saqiv Williams SBA 2021\Spreadsheet\"/>
    </mc:Choice>
  </mc:AlternateContent>
  <bookViews>
    <workbookView xWindow="0" yWindow="0" windowWidth="23040" windowHeight="9336" firstSheet="5" activeTab="12"/>
  </bookViews>
  <sheets>
    <sheet name="Football" sheetId="2" r:id="rId1"/>
    <sheet name="Basketball" sheetId="3" r:id="rId2"/>
    <sheet name="Netball" sheetId="4" r:id="rId3"/>
    <sheet name="Hockey" sheetId="5" r:id="rId4"/>
    <sheet name="Swimming" sheetId="6" r:id="rId5"/>
    <sheet name="Expenditure" sheetId="1" r:id="rId6"/>
    <sheet name="Simple Filter" sheetId="8" r:id="rId7"/>
    <sheet name="Pivot Table" sheetId="11" r:id="rId8"/>
    <sheet name="Advance Filter" sheetId="9" r:id="rId9"/>
    <sheet name="Chart1" sheetId="13" r:id="rId10"/>
    <sheet name="Chart2" sheetId="14" r:id="rId11"/>
    <sheet name="Income VS Expenditure" sheetId="12" r:id="rId12"/>
    <sheet name="Dataset" sheetId="7" r:id="rId13"/>
  </sheets>
  <definedNames>
    <definedName name="_xlnm._FilterDatabase" localSheetId="8" hidden="1">'Advance Filter'!$A$3:$L$18</definedName>
    <definedName name="_xlnm._FilterDatabase" localSheetId="6" hidden="1">'Simple Filter'!$A$3:$L$20</definedName>
    <definedName name="_xlnm.Criteria" localSheetId="8">'Advance Filter'!$D$23:$D$24</definedName>
    <definedName name="_xlnm.Extract" localSheetId="8">'Advance Filter'!$A$25:$L$25</definedName>
  </definedNames>
  <calcPr calcId="162913"/>
  <pivotCaches>
    <pivotCache cacheId="1" r:id="rId14"/>
    <pivotCache cacheId="2" r:id="rId15"/>
    <pivotCache cacheId="3" r:id="rId16"/>
    <pivotCache cacheId="4" r:id="rId17"/>
    <pivotCache cacheId="5" r:id="rId1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" i="1" l="1"/>
  <c r="F6" i="1"/>
  <c r="I4" i="1"/>
  <c r="I5" i="1"/>
  <c r="I6" i="1"/>
  <c r="I7" i="1"/>
  <c r="I3" i="1"/>
  <c r="H4" i="1"/>
  <c r="H5" i="1"/>
  <c r="H6" i="1"/>
  <c r="H7" i="1"/>
  <c r="H3" i="1"/>
  <c r="F4" i="1"/>
  <c r="G4" i="1"/>
  <c r="G5" i="1"/>
  <c r="G6" i="1"/>
  <c r="G7" i="1"/>
  <c r="G3" i="1"/>
  <c r="F5" i="1"/>
  <c r="D4" i="1"/>
  <c r="D5" i="1"/>
  <c r="D6" i="1"/>
  <c r="D7" i="1"/>
  <c r="F3" i="1"/>
  <c r="D3" i="1"/>
  <c r="C3" i="1"/>
  <c r="E4" i="1"/>
  <c r="E5" i="1"/>
  <c r="E6" i="1"/>
  <c r="E7" i="1"/>
  <c r="E3" i="1"/>
  <c r="A3" i="12"/>
  <c r="B3" i="12"/>
  <c r="A4" i="12"/>
  <c r="B4" i="12"/>
  <c r="A5" i="12"/>
  <c r="B5" i="12"/>
  <c r="A6" i="12"/>
  <c r="B6" i="12"/>
  <c r="A7" i="12"/>
  <c r="B7" i="12"/>
  <c r="D23" i="9"/>
  <c r="I20" i="9"/>
  <c r="J18" i="9"/>
  <c r="L18" i="9" s="1"/>
  <c r="E18" i="9"/>
  <c r="J17" i="9"/>
  <c r="L17" i="9" s="1"/>
  <c r="E17" i="9"/>
  <c r="J16" i="9"/>
  <c r="L16" i="9" s="1"/>
  <c r="E16" i="9"/>
  <c r="J15" i="9"/>
  <c r="L15" i="9" s="1"/>
  <c r="E15" i="9"/>
  <c r="J14" i="9"/>
  <c r="L14" i="9" s="1"/>
  <c r="E14" i="9"/>
  <c r="J13" i="9"/>
  <c r="L13" i="9" s="1"/>
  <c r="E13" i="9"/>
  <c r="J12" i="9"/>
  <c r="L12" i="9" s="1"/>
  <c r="E12" i="9"/>
  <c r="L11" i="9"/>
  <c r="J11" i="9"/>
  <c r="E11" i="9"/>
  <c r="J10" i="9"/>
  <c r="L10" i="9" s="1"/>
  <c r="E10" i="9"/>
  <c r="J9" i="9"/>
  <c r="L9" i="9" s="1"/>
  <c r="E9" i="9"/>
  <c r="J8" i="9"/>
  <c r="L8" i="9" s="1"/>
  <c r="E8" i="9"/>
  <c r="J7" i="9"/>
  <c r="L7" i="9" s="1"/>
  <c r="E7" i="9"/>
  <c r="J6" i="9"/>
  <c r="L6" i="9" s="1"/>
  <c r="E6" i="9"/>
  <c r="J5" i="9"/>
  <c r="L5" i="9" s="1"/>
  <c r="E5" i="9"/>
  <c r="J4" i="9"/>
  <c r="L4" i="9" s="1"/>
  <c r="E4" i="9"/>
  <c r="I20" i="8"/>
  <c r="J18" i="8"/>
  <c r="L18" i="8" s="1"/>
  <c r="E18" i="8"/>
  <c r="J17" i="8"/>
  <c r="L17" i="8" s="1"/>
  <c r="E17" i="8"/>
  <c r="J16" i="8"/>
  <c r="L16" i="8" s="1"/>
  <c r="E16" i="8"/>
  <c r="J15" i="8"/>
  <c r="L15" i="8" s="1"/>
  <c r="E15" i="8"/>
  <c r="J14" i="8"/>
  <c r="L14" i="8" s="1"/>
  <c r="E14" i="8"/>
  <c r="J13" i="8"/>
  <c r="L13" i="8" s="1"/>
  <c r="E13" i="8"/>
  <c r="J12" i="8"/>
  <c r="L12" i="8" s="1"/>
  <c r="E12" i="8"/>
  <c r="J11" i="8"/>
  <c r="L11" i="8" s="1"/>
  <c r="E11" i="8"/>
  <c r="J10" i="8"/>
  <c r="L10" i="8" s="1"/>
  <c r="E10" i="8"/>
  <c r="J9" i="8"/>
  <c r="L9" i="8" s="1"/>
  <c r="E9" i="8"/>
  <c r="J8" i="8"/>
  <c r="L8" i="8" s="1"/>
  <c r="E8" i="8"/>
  <c r="J7" i="8"/>
  <c r="L7" i="8" s="1"/>
  <c r="E7" i="8"/>
  <c r="J6" i="8"/>
  <c r="L6" i="8" s="1"/>
  <c r="E6" i="8"/>
  <c r="J5" i="8"/>
  <c r="L5" i="8" s="1"/>
  <c r="E5" i="8"/>
  <c r="J4" i="8"/>
  <c r="L4" i="8" s="1"/>
  <c r="E4" i="8"/>
  <c r="J14" i="4"/>
  <c r="L14" i="4" s="1"/>
  <c r="E3" i="4"/>
  <c r="E9" i="4"/>
  <c r="E10" i="4"/>
  <c r="E4" i="4"/>
  <c r="E5" i="4"/>
  <c r="E6" i="4"/>
  <c r="E11" i="4"/>
  <c r="E7" i="4"/>
  <c r="E12" i="4"/>
  <c r="E13" i="4"/>
  <c r="E14" i="4"/>
  <c r="E15" i="4"/>
  <c r="L15" i="3"/>
  <c r="J16" i="3"/>
  <c r="E9" i="3"/>
  <c r="E3" i="3"/>
  <c r="E4" i="3"/>
  <c r="E10" i="3"/>
  <c r="E5" i="3"/>
  <c r="E6" i="3"/>
  <c r="E11" i="3"/>
  <c r="E12" i="3"/>
  <c r="E13" i="3"/>
  <c r="E7" i="3"/>
  <c r="E14" i="3"/>
  <c r="E15" i="3"/>
  <c r="E8" i="3"/>
  <c r="E16" i="3"/>
  <c r="L9" i="2"/>
  <c r="J9" i="2"/>
  <c r="E11" i="2"/>
  <c r="E4" i="2"/>
  <c r="E5" i="2"/>
  <c r="E12" i="2"/>
  <c r="E13" i="2"/>
  <c r="E14" i="2"/>
  <c r="E6" i="2"/>
  <c r="E7" i="2"/>
  <c r="E15" i="2"/>
  <c r="E8" i="2"/>
  <c r="E16" i="2"/>
  <c r="E17" i="2"/>
  <c r="E9" i="2"/>
  <c r="E18" i="2"/>
  <c r="E10" i="2"/>
  <c r="L19" i="9" l="1"/>
  <c r="L19" i="8"/>
  <c r="I17" i="6"/>
  <c r="B7" i="1" s="1"/>
  <c r="B4" i="1"/>
  <c r="J4" i="1" s="1"/>
  <c r="C4" i="12" s="1"/>
  <c r="I16" i="5"/>
  <c r="B6" i="1" s="1"/>
  <c r="K6" i="1" s="1"/>
  <c r="I17" i="4"/>
  <c r="B5" i="1" s="1"/>
  <c r="I19" i="3"/>
  <c r="I20" i="2"/>
  <c r="B3" i="1" s="1"/>
  <c r="A4" i="1"/>
  <c r="A5" i="1"/>
  <c r="A6" i="1"/>
  <c r="A7" i="1"/>
  <c r="A3" i="1"/>
  <c r="E3" i="6"/>
  <c r="E4" i="6"/>
  <c r="E5" i="6"/>
  <c r="E6" i="6"/>
  <c r="E7" i="6"/>
  <c r="E8" i="6"/>
  <c r="E9" i="6"/>
  <c r="E10" i="6"/>
  <c r="E11" i="6"/>
  <c r="E12" i="6"/>
  <c r="E13" i="6"/>
  <c r="E14" i="6"/>
  <c r="E15" i="6"/>
  <c r="J15" i="6"/>
  <c r="L15" i="6" s="1"/>
  <c r="J14" i="6"/>
  <c r="L14" i="6" s="1"/>
  <c r="J13" i="6"/>
  <c r="L13" i="6" s="1"/>
  <c r="J12" i="6"/>
  <c r="L12" i="6" s="1"/>
  <c r="J11" i="6"/>
  <c r="L11" i="6" s="1"/>
  <c r="J10" i="6"/>
  <c r="L10" i="6" s="1"/>
  <c r="J9" i="6"/>
  <c r="L9" i="6" s="1"/>
  <c r="J8" i="6"/>
  <c r="L8" i="6" s="1"/>
  <c r="J7" i="6"/>
  <c r="L7" i="6" s="1"/>
  <c r="J6" i="6"/>
  <c r="L6" i="6" s="1"/>
  <c r="J5" i="6"/>
  <c r="L5" i="6" s="1"/>
  <c r="J4" i="6"/>
  <c r="L4" i="6" s="1"/>
  <c r="J3" i="6"/>
  <c r="L3" i="6" s="1"/>
  <c r="J14" i="5"/>
  <c r="E14" i="5"/>
  <c r="J13" i="5"/>
  <c r="L12" i="5" s="1"/>
  <c r="E13" i="5"/>
  <c r="J12" i="5"/>
  <c r="L11" i="5" s="1"/>
  <c r="E12" i="5"/>
  <c r="J11" i="5"/>
  <c r="L10" i="5" s="1"/>
  <c r="E11" i="5"/>
  <c r="J8" i="5"/>
  <c r="L7" i="5" s="1"/>
  <c r="E8" i="5"/>
  <c r="J7" i="5"/>
  <c r="L6" i="5" s="1"/>
  <c r="E7" i="5"/>
  <c r="J10" i="5"/>
  <c r="L9" i="5" s="1"/>
  <c r="E10" i="5"/>
  <c r="J6" i="5"/>
  <c r="L5" i="5" s="1"/>
  <c r="E6" i="5"/>
  <c r="J5" i="5"/>
  <c r="L4" i="5" s="1"/>
  <c r="E5" i="5"/>
  <c r="J9" i="5"/>
  <c r="L8" i="5" s="1"/>
  <c r="E9" i="5"/>
  <c r="J4" i="5"/>
  <c r="L3" i="5" s="1"/>
  <c r="E4" i="5"/>
  <c r="J3" i="5"/>
  <c r="E3" i="5"/>
  <c r="J15" i="4"/>
  <c r="L15" i="4" s="1"/>
  <c r="J13" i="4"/>
  <c r="L13" i="4" s="1"/>
  <c r="J12" i="4"/>
  <c r="L12" i="4" s="1"/>
  <c r="J7" i="4"/>
  <c r="L7" i="4" s="1"/>
  <c r="J11" i="4"/>
  <c r="L11" i="4" s="1"/>
  <c r="J6" i="4"/>
  <c r="L6" i="4" s="1"/>
  <c r="J5" i="4"/>
  <c r="L5" i="4" s="1"/>
  <c r="J4" i="4"/>
  <c r="L4" i="4" s="1"/>
  <c r="J10" i="4"/>
  <c r="L10" i="4" s="1"/>
  <c r="J9" i="4"/>
  <c r="L9" i="4" s="1"/>
  <c r="J3" i="4"/>
  <c r="L3" i="4" s="1"/>
  <c r="J8" i="4"/>
  <c r="L8" i="4" s="1"/>
  <c r="E8" i="4"/>
  <c r="J17" i="3"/>
  <c r="L16" i="3" s="1"/>
  <c r="E17" i="3"/>
  <c r="J8" i="3"/>
  <c r="L7" i="3" s="1"/>
  <c r="J15" i="3"/>
  <c r="L14" i="3" s="1"/>
  <c r="J14" i="3"/>
  <c r="L13" i="3" s="1"/>
  <c r="J7" i="3"/>
  <c r="L6" i="3" s="1"/>
  <c r="J13" i="3"/>
  <c r="L12" i="3" s="1"/>
  <c r="J12" i="3"/>
  <c r="L11" i="3" s="1"/>
  <c r="J11" i="3"/>
  <c r="L10" i="3" s="1"/>
  <c r="J6" i="3"/>
  <c r="L5" i="3" s="1"/>
  <c r="J5" i="3"/>
  <c r="L4" i="3" s="1"/>
  <c r="J10" i="3"/>
  <c r="L9" i="3" s="1"/>
  <c r="J4" i="3"/>
  <c r="L3" i="3" s="1"/>
  <c r="J3" i="3"/>
  <c r="J9" i="3"/>
  <c r="L8" i="3" s="1"/>
  <c r="J18" i="2"/>
  <c r="L18" i="2" s="1"/>
  <c r="J17" i="2"/>
  <c r="L17" i="2" s="1"/>
  <c r="J16" i="2"/>
  <c r="L16" i="2" s="1"/>
  <c r="J8" i="2"/>
  <c r="L8" i="2" s="1"/>
  <c r="J15" i="2"/>
  <c r="L15" i="2" s="1"/>
  <c r="J7" i="2"/>
  <c r="L7" i="2" s="1"/>
  <c r="J6" i="2"/>
  <c r="L6" i="2" s="1"/>
  <c r="J14" i="2"/>
  <c r="L14" i="2" s="1"/>
  <c r="J13" i="2"/>
  <c r="L13" i="2" s="1"/>
  <c r="J12" i="2"/>
  <c r="L12" i="2" s="1"/>
  <c r="J5" i="2"/>
  <c r="L5" i="2" s="1"/>
  <c r="J4" i="2"/>
  <c r="L4" i="2" s="1"/>
  <c r="J11" i="2"/>
  <c r="L11" i="2" s="1"/>
  <c r="J10" i="2"/>
  <c r="L10" i="2" s="1"/>
  <c r="L14" i="5" l="1"/>
  <c r="L13" i="5"/>
  <c r="L15" i="5" s="1"/>
  <c r="L17" i="3"/>
  <c r="L18" i="3" s="1"/>
  <c r="K7" i="1"/>
  <c r="J7" i="1"/>
  <c r="C7" i="12" s="1"/>
  <c r="J6" i="1"/>
  <c r="C6" i="12" s="1"/>
  <c r="K5" i="1"/>
  <c r="J5" i="1"/>
  <c r="C5" i="12" s="1"/>
  <c r="K4" i="1"/>
  <c r="K3" i="1"/>
  <c r="J3" i="1"/>
  <c r="C3" i="12" s="1"/>
  <c r="L16" i="4"/>
  <c r="L16" i="6"/>
  <c r="L19" i="2"/>
  <c r="J8" i="1" l="1"/>
  <c r="K8" i="1"/>
</calcChain>
</file>

<file path=xl/sharedStrings.xml><?xml version="1.0" encoding="utf-8"?>
<sst xmlns="http://schemas.openxmlformats.org/spreadsheetml/2006/main" count="1140" uniqueCount="389">
  <si>
    <t>Surname</t>
  </si>
  <si>
    <t>First Name</t>
  </si>
  <si>
    <t>Parent's Name</t>
  </si>
  <si>
    <t>Address</t>
  </si>
  <si>
    <t>Contact Information</t>
  </si>
  <si>
    <t>Uniform Size</t>
  </si>
  <si>
    <t>Sport</t>
  </si>
  <si>
    <t>Best</t>
  </si>
  <si>
    <t xml:space="preserve">Pauline </t>
  </si>
  <si>
    <t>Carl Best</t>
  </si>
  <si>
    <t>Football</t>
  </si>
  <si>
    <t>9776 Birchpond St.</t>
  </si>
  <si>
    <t>1868-745-0923</t>
  </si>
  <si>
    <t>Small</t>
  </si>
  <si>
    <t>Elroy</t>
  </si>
  <si>
    <t>Alvarado</t>
  </si>
  <si>
    <t>Michelle Alvarado</t>
  </si>
  <si>
    <t> Stone &amp; Charles Sts., Port of Spain</t>
  </si>
  <si>
    <t>1868-236-7908</t>
  </si>
  <si>
    <t>Large</t>
  </si>
  <si>
    <t>Franklin</t>
  </si>
  <si>
    <t>Aurora</t>
  </si>
  <si>
    <t>Kyle Aurora</t>
  </si>
  <si>
    <t>19 Mucurapo Road</t>
  </si>
  <si>
    <t>1868-345-9453</t>
  </si>
  <si>
    <t>Maharaj</t>
  </si>
  <si>
    <t>Kaitlyn</t>
  </si>
  <si>
    <t>Jeremy Maharaj</t>
  </si>
  <si>
    <t>Constance Street</t>
  </si>
  <si>
    <t>1868-224-8843</t>
  </si>
  <si>
    <t>Medium</t>
  </si>
  <si>
    <t>Maurice</t>
  </si>
  <si>
    <t>Moses</t>
  </si>
  <si>
    <t>Andrea Moses</t>
  </si>
  <si>
    <t>102 Nolan Street</t>
  </si>
  <si>
    <t>1868-456-3722</t>
  </si>
  <si>
    <t>Jamieson</t>
  </si>
  <si>
    <t>Richard</t>
  </si>
  <si>
    <t>Daisy Jamieson</t>
  </si>
  <si>
    <t>Milford Road, Milford</t>
  </si>
  <si>
    <t>1868-745-9021</t>
  </si>
  <si>
    <t>Mark</t>
  </si>
  <si>
    <t>Ramousar</t>
  </si>
  <si>
    <t>Nathan</t>
  </si>
  <si>
    <t>Cary Ramousar</t>
  </si>
  <si>
    <t>34 Carrington Street</t>
  </si>
  <si>
    <t>1868-223-0012</t>
  </si>
  <si>
    <t>Joseph</t>
  </si>
  <si>
    <t>Peter</t>
  </si>
  <si>
    <t>Michael Joseph</t>
  </si>
  <si>
    <t>135 John Street</t>
  </si>
  <si>
    <t>1868-432-4567</t>
  </si>
  <si>
    <t>Rosa</t>
  </si>
  <si>
    <t>Susan</t>
  </si>
  <si>
    <t>Natasha Rosa</t>
  </si>
  <si>
    <t>Date of Birth (dd/mm/yr)</t>
  </si>
  <si>
    <t>22 Penco Street</t>
  </si>
  <si>
    <t>1868-275-9743</t>
  </si>
  <si>
    <t>Sharma</t>
  </si>
  <si>
    <t>Andrea</t>
  </si>
  <si>
    <t>Alex Sharma</t>
  </si>
  <si>
    <t>#49 Thompson Street</t>
  </si>
  <si>
    <t>1868-349-9732</t>
  </si>
  <si>
    <t>Samll</t>
  </si>
  <si>
    <t>Davinson</t>
  </si>
  <si>
    <t>Stuart</t>
  </si>
  <si>
    <t>Vanessa Davinson</t>
  </si>
  <si>
    <t>Fourth Street, P.O.Box 4300</t>
  </si>
  <si>
    <t>1868-754-0372</t>
  </si>
  <si>
    <t>Leslie</t>
  </si>
  <si>
    <t>Kimberly</t>
  </si>
  <si>
    <t>Marie Leslie</t>
  </si>
  <si>
    <t>Edinburgh Village, P.O.Box 33400</t>
  </si>
  <si>
    <t>David</t>
  </si>
  <si>
    <t>Serelo</t>
  </si>
  <si>
    <t>Kevin Serelo</t>
  </si>
  <si>
    <t>  15 Woodpecker Lane, P.O.Box 23700</t>
  </si>
  <si>
    <t>1868-632-6732</t>
  </si>
  <si>
    <t>1868-321-7832</t>
  </si>
  <si>
    <t>Method Of Payment</t>
  </si>
  <si>
    <t>Installment</t>
  </si>
  <si>
    <t>Registration Cost</t>
  </si>
  <si>
    <t>Grand Total(TT)</t>
  </si>
  <si>
    <t>Total</t>
  </si>
  <si>
    <t>Number of Campers</t>
  </si>
  <si>
    <t>Nord</t>
  </si>
  <si>
    <t>Christ</t>
  </si>
  <si>
    <t>Eliana Nord</t>
  </si>
  <si>
    <t>63 Eastern Main Road</t>
  </si>
  <si>
    <t>1868-547-3422</t>
  </si>
  <si>
    <t>Basketball</t>
  </si>
  <si>
    <t>Wilson</t>
  </si>
  <si>
    <t>Nina</t>
  </si>
  <si>
    <t>Carolyn Wilson</t>
  </si>
  <si>
    <t> Store Bay Road, Store Bay</t>
  </si>
  <si>
    <t>1868-432-1738</t>
  </si>
  <si>
    <t>Mohammed</t>
  </si>
  <si>
    <t>Varen</t>
  </si>
  <si>
    <t>Siraj Mohammed</t>
  </si>
  <si>
    <t>7 Benares Street</t>
  </si>
  <si>
    <t>Breeze Hall Mall</t>
  </si>
  <si>
    <t>St.Mary's Village</t>
  </si>
  <si>
    <t> Main Street</t>
  </si>
  <si>
    <t>1-5 Princess Margaret Street, P.O.Box 13800</t>
  </si>
  <si>
    <t>15 Zimbabwe Lane</t>
  </si>
  <si>
    <t>Bacolet Street</t>
  </si>
  <si>
    <t>5a Lazare Street,Chaguanas,Trinidad and Tobago</t>
  </si>
  <si>
    <t>130 Seventh Street Barataria ,Chaguanas,Trinidad and Tobago</t>
  </si>
  <si>
    <t>Eastern Main Road,Chaguanas,Trinidad and Tobago</t>
  </si>
  <si>
    <t>Lp# 2 Nicholas St Morne Coco Rd ,Arima,Trinidad and Tobago</t>
  </si>
  <si>
    <t>37 Tragarete Road,Arima,Trinidad and Tobago</t>
  </si>
  <si>
    <t>130 Seventh Street Barataria ,Arima,Trinidad and Tobago</t>
  </si>
  <si>
    <t>3A Silvermill San Juan,Diego Martin,Trinidad and Tobago</t>
  </si>
  <si>
    <t>16 Real Street San Juan,Diego Martin,Trinidad and Tobago</t>
  </si>
  <si>
    <t> 70 Woodford St,Diego Martin,Trinidad and Tobago</t>
  </si>
  <si>
    <t>Bhagoutie Trace San Juan,Diego Martin,Trinidad and Tobago</t>
  </si>
  <si>
    <t>10-16 Lady Hailes Avenue ,Marabella,Trinidad and Tobago</t>
  </si>
  <si>
    <t> 74 Ana St. Woodbrook ,Marabella,Trinidad and Tobago</t>
  </si>
  <si>
    <t>19 Papourie Road ,Marabella,Trinidad and Tobago</t>
  </si>
  <si>
    <t>Western Main Road,Port of Spain,Trinidad and Tobago</t>
  </si>
  <si>
    <t>Camden Road. Camden House ,Port of Spain,Trinidad and Tobago</t>
  </si>
  <si>
    <t>13 Buller St Woodbrook,Port of Spain,Trinidad and Tobago</t>
  </si>
  <si>
    <t>Cocorite,Port of Spain,Trinidad and Tobago</t>
  </si>
  <si>
    <t>School Street ,Point Fortin,Trinidad and Tobago</t>
  </si>
  <si>
    <t>37 Tragarete Road,Point Fortin,Trinidad and Tobago</t>
  </si>
  <si>
    <t>Eastern Main Road,San Fernando,Trinidad and Tobago</t>
  </si>
  <si>
    <t>Union Hall ,San Fernando,Trinidad and Tobago</t>
  </si>
  <si>
    <t>64 Eligon Ave ,Tunapuna,Trinidad and Tobago</t>
  </si>
  <si>
    <t>Fernandes Industrial Estate ,Tunapuna,Trinidad and Tobago</t>
  </si>
  <si>
    <t>Beckles Lane and Eastern Main Road ,Tunapuna,Trinidad and Tobago</t>
  </si>
  <si>
    <t>Sam Boucaud Rd. Upr S/Cruz ,Tunapuna,Trinidad and Tobago</t>
  </si>
  <si>
    <t>Fleming St. Longdenville ,Port of Spain,Trinidad and Tobago</t>
  </si>
  <si>
    <t> 6a Queen,Port of Spain,Trinidad and Tobago</t>
  </si>
  <si>
    <t>12 Ragbir Street ,Port of Spain,Trinidad and Tobago</t>
  </si>
  <si>
    <t>Lp# 2 Nicholas St Morne Coco Rd ,Port of Spain,Trinidad and Tobago</t>
  </si>
  <si>
    <t>St Croix Road,Port of Spain,Trinidad and Tobago</t>
  </si>
  <si>
    <t>St. John,Port of Spain,Trinidad and Tobago</t>
  </si>
  <si>
    <t>Clare Street ,Port of Spain,Trinidad and Tobago</t>
  </si>
  <si>
    <t>Corner Richmond. London Street,Tunapuna,Trinidad and Tobago</t>
  </si>
  <si>
    <t>22 Eleanor Street,Tunapuna,Trinidad and Tobago</t>
  </si>
  <si>
    <t>Alexander St.,Tunapuna,Trinidad and Tobago</t>
  </si>
  <si>
    <t>109d Coffee Street ,Tunapuna,Trinidad and Tobago</t>
  </si>
  <si>
    <t> 7A O'Meara Industrial Estate,Tunapuna,Trinidad and Tobago</t>
  </si>
  <si>
    <t>1868-213-4832</t>
  </si>
  <si>
    <t>Aslan</t>
  </si>
  <si>
    <t>Desha Stuart</t>
  </si>
  <si>
    <t>1868-342-2183</t>
  </si>
  <si>
    <t>Weasley</t>
  </si>
  <si>
    <t>Charles</t>
  </si>
  <si>
    <t>Matthew Charles</t>
  </si>
  <si>
    <t>1868-453-0983</t>
  </si>
  <si>
    <t>Naomi</t>
  </si>
  <si>
    <t>Pierra</t>
  </si>
  <si>
    <t>Natalie Pierra</t>
  </si>
  <si>
    <t>1868-463-8291</t>
  </si>
  <si>
    <t>Adrian</t>
  </si>
  <si>
    <t>Ali</t>
  </si>
  <si>
    <t>Ishan Ali</t>
  </si>
  <si>
    <t>1868-928-2321</t>
  </si>
  <si>
    <t>Maria</t>
  </si>
  <si>
    <t>Lewis</t>
  </si>
  <si>
    <t>Mia Lewis</t>
  </si>
  <si>
    <t>1868-736-3982</t>
  </si>
  <si>
    <t>Netball</t>
  </si>
  <si>
    <t>Darell</t>
  </si>
  <si>
    <t>Seepersaud</t>
  </si>
  <si>
    <t>Aisha Seepersaud</t>
  </si>
  <si>
    <t>1868-437-2928</t>
  </si>
  <si>
    <t>James</t>
  </si>
  <si>
    <t>Dale James</t>
  </si>
  <si>
    <t>1868-463-2881</t>
  </si>
  <si>
    <t>1868-477-2372</t>
  </si>
  <si>
    <t>1868-237-3921</t>
  </si>
  <si>
    <t>1868-388-3728</t>
  </si>
  <si>
    <t>1868-381-3883</t>
  </si>
  <si>
    <t>1868-283-3821</t>
  </si>
  <si>
    <t>1868-462-7238</t>
  </si>
  <si>
    <t>1868-389-3742</t>
  </si>
  <si>
    <t>1868-244-4839</t>
  </si>
  <si>
    <t>1868-472-3828</t>
  </si>
  <si>
    <t>1868-348-3881</t>
  </si>
  <si>
    <t>1868-489-0482</t>
  </si>
  <si>
    <t>1868-841-8894</t>
  </si>
  <si>
    <t>1868-489-4922</t>
  </si>
  <si>
    <t>1868-444-4843</t>
  </si>
  <si>
    <t>Daren</t>
  </si>
  <si>
    <t>Sylvester</t>
  </si>
  <si>
    <t>Kimberly Sylvester</t>
  </si>
  <si>
    <t>Jake</t>
  </si>
  <si>
    <t>Paul</t>
  </si>
  <si>
    <t>Logan Paul</t>
  </si>
  <si>
    <t>Kevin</t>
  </si>
  <si>
    <t>Chan</t>
  </si>
  <si>
    <t>Hitashi Chan</t>
  </si>
  <si>
    <t>Joey</t>
  </si>
  <si>
    <t>Apple</t>
  </si>
  <si>
    <t>Nia Apple</t>
  </si>
  <si>
    <t>Full</t>
  </si>
  <si>
    <t>Sarah</t>
  </si>
  <si>
    <t>Putlin</t>
  </si>
  <si>
    <t>Ameera Putlin</t>
  </si>
  <si>
    <t>Cassidy</t>
  </si>
  <si>
    <t>Andrey James</t>
  </si>
  <si>
    <t>Clyde</t>
  </si>
  <si>
    <t>Armstrong</t>
  </si>
  <si>
    <t>Zoe Armstrong</t>
  </si>
  <si>
    <t>Sasa</t>
  </si>
  <si>
    <t>Okaniku</t>
  </si>
  <si>
    <t>Leroy Okaniku</t>
  </si>
  <si>
    <t>Julie</t>
  </si>
  <si>
    <t>Anderson</t>
  </si>
  <si>
    <t>Zane Anderson</t>
  </si>
  <si>
    <t>Arun</t>
  </si>
  <si>
    <t>Ramlogan</t>
  </si>
  <si>
    <t>Bridgette Ramlogan</t>
  </si>
  <si>
    <t>Alejandro</t>
  </si>
  <si>
    <t>Lisa</t>
  </si>
  <si>
    <t>Ferdinand Lisa</t>
  </si>
  <si>
    <t>Werly</t>
  </si>
  <si>
    <t>Mathews</t>
  </si>
  <si>
    <t>Shaun Matthews</t>
  </si>
  <si>
    <t>Harvey</t>
  </si>
  <si>
    <t>Ross</t>
  </si>
  <si>
    <t>Victoria Ross</t>
  </si>
  <si>
    <t>Miguel</t>
  </si>
  <si>
    <t>Fokina</t>
  </si>
  <si>
    <t>Ronaldo Fokina</t>
  </si>
  <si>
    <t>Christien</t>
  </si>
  <si>
    <t>Morilla</t>
  </si>
  <si>
    <t>Jon Morilla</t>
  </si>
  <si>
    <t>Sealy</t>
  </si>
  <si>
    <t>Larry</t>
  </si>
  <si>
    <t>Drew Sealy</t>
  </si>
  <si>
    <t>Nadine</t>
  </si>
  <si>
    <t>Graig</t>
  </si>
  <si>
    <t>Isaias</t>
  </si>
  <si>
    <t>Elna</t>
  </si>
  <si>
    <t>Louisa</t>
  </si>
  <si>
    <t>Ona</t>
  </si>
  <si>
    <t>Lisabeth</t>
  </si>
  <si>
    <t>Amada</t>
  </si>
  <si>
    <t>Kizzie</t>
  </si>
  <si>
    <t>Elmira</t>
  </si>
  <si>
    <t>Stanford</t>
  </si>
  <si>
    <t>Twila</t>
  </si>
  <si>
    <t>Hilda</t>
  </si>
  <si>
    <t>Catherine</t>
  </si>
  <si>
    <t>Hosea</t>
  </si>
  <si>
    <t>Marty</t>
  </si>
  <si>
    <t>1868-756-3982</t>
  </si>
  <si>
    <t>1868-437-1928</t>
  </si>
  <si>
    <t>1868-474-2372</t>
  </si>
  <si>
    <t>1868-237-3926</t>
  </si>
  <si>
    <t>1868-382-3883</t>
  </si>
  <si>
    <t>1868-283-3832</t>
  </si>
  <si>
    <t>1868-462-7231</t>
  </si>
  <si>
    <t>1868-383-3742</t>
  </si>
  <si>
    <t>1868-244-4832</t>
  </si>
  <si>
    <t>1868-472-6828</t>
  </si>
  <si>
    <t>1868-348-3831</t>
  </si>
  <si>
    <t>1868-419-0482</t>
  </si>
  <si>
    <t>1868-841-8494</t>
  </si>
  <si>
    <t>1868-489-4622</t>
  </si>
  <si>
    <t>1868-444-4841</t>
  </si>
  <si>
    <t>Tomoko</t>
  </si>
  <si>
    <t>Alex</t>
  </si>
  <si>
    <t>Zoe</t>
  </si>
  <si>
    <t>Wilhemina</t>
  </si>
  <si>
    <t>Floretta</t>
  </si>
  <si>
    <t>Maribeth</t>
  </si>
  <si>
    <t>Shalonda</t>
  </si>
  <si>
    <t>Burt</t>
  </si>
  <si>
    <t>Miyoko</t>
  </si>
  <si>
    <t>Le</t>
  </si>
  <si>
    <t>William</t>
  </si>
  <si>
    <t>Lori</t>
  </si>
  <si>
    <t>Rena</t>
  </si>
  <si>
    <t>Twyla</t>
  </si>
  <si>
    <t>Angelia</t>
  </si>
  <si>
    <t>Carrol Tomoko</t>
  </si>
  <si>
    <t>Mario Alex</t>
  </si>
  <si>
    <t>Shirlee Zoe</t>
  </si>
  <si>
    <t>Rod Wilhemina</t>
  </si>
  <si>
    <t>Dawna Floretta</t>
  </si>
  <si>
    <t>Inger Maribeth</t>
  </si>
  <si>
    <t>Shawanda Shalonda</t>
  </si>
  <si>
    <t>Sofia Burt</t>
  </si>
  <si>
    <t>Saul Miyoko</t>
  </si>
  <si>
    <t>Mariel Le</t>
  </si>
  <si>
    <t>Echo Williams</t>
  </si>
  <si>
    <t>Robert Lori</t>
  </si>
  <si>
    <t>Krystyna Rena</t>
  </si>
  <si>
    <t>Caroline Aurora</t>
  </si>
  <si>
    <t>Charita Twyla</t>
  </si>
  <si>
    <t>April Angelai</t>
  </si>
  <si>
    <t>Hockey</t>
  </si>
  <si>
    <t>1868-745-0926</t>
  </si>
  <si>
    <t>1868-345-9468</t>
  </si>
  <si>
    <t>1868-224-8443</t>
  </si>
  <si>
    <t>1868-456-3729</t>
  </si>
  <si>
    <t>1868-745-9020</t>
  </si>
  <si>
    <t>1868-755-9021</t>
  </si>
  <si>
    <t>1868-223-0013</t>
  </si>
  <si>
    <t>1868-732-4567</t>
  </si>
  <si>
    <t>Swimming</t>
  </si>
  <si>
    <t>1868-732-4568</t>
  </si>
  <si>
    <t>1868-732-4569</t>
  </si>
  <si>
    <t>1868-732-4570</t>
  </si>
  <si>
    <t>1868-732-4571</t>
  </si>
  <si>
    <t>Mc Bean,Arouca,Trinidad and Tobago</t>
  </si>
  <si>
    <t>Shoppes of Maraval. Maraval,Arouca,Trinidad and Tobago</t>
  </si>
  <si>
    <t>Gaston Street ,Arouca,Trinidad and Tobago</t>
  </si>
  <si>
    <t>100 Wrightson Rd. Port of Spain ,Arima,Trinidad and Tobago</t>
  </si>
  <si>
    <t> 3 Penitence St.,Arima,Trinidad and Tobago</t>
  </si>
  <si>
    <t>Fernanda</t>
  </si>
  <si>
    <t>Christel</t>
  </si>
  <si>
    <t>Brittny</t>
  </si>
  <si>
    <t>Darnell</t>
  </si>
  <si>
    <t>Lovetta</t>
  </si>
  <si>
    <t>Dorothy</t>
  </si>
  <si>
    <t>Roxana</t>
  </si>
  <si>
    <t>Kaycee</t>
  </si>
  <si>
    <t>Elfreda</t>
  </si>
  <si>
    <t>Mathilde</t>
  </si>
  <si>
    <t>Vi</t>
  </si>
  <si>
    <t>Patrick</t>
  </si>
  <si>
    <t>Heather</t>
  </si>
  <si>
    <t>Blythe</t>
  </si>
  <si>
    <t>Caitlin</t>
  </si>
  <si>
    <t>Margarito</t>
  </si>
  <si>
    <t>Stewart</t>
  </si>
  <si>
    <t>Trinity Fernanda</t>
  </si>
  <si>
    <t>Gemini Christel</t>
  </si>
  <si>
    <t>Avery Brittny</t>
  </si>
  <si>
    <t>Elias Patrick</t>
  </si>
  <si>
    <t>Shea William</t>
  </si>
  <si>
    <t>Connor Lovetta</t>
  </si>
  <si>
    <t>Becky Dorothy</t>
  </si>
  <si>
    <t>Alana Roxana</t>
  </si>
  <si>
    <t>Kassidy Kaycee</t>
  </si>
  <si>
    <t>Food</t>
  </si>
  <si>
    <t>Uniform</t>
  </si>
  <si>
    <t>Labour</t>
  </si>
  <si>
    <t>Total Costs(TT)</t>
  </si>
  <si>
    <t>Total Costs(US)</t>
  </si>
  <si>
    <t>Dataset</t>
  </si>
  <si>
    <t xml:space="preserve">Gender </t>
  </si>
  <si>
    <t>Conversion Rate</t>
  </si>
  <si>
    <t>Payment method</t>
  </si>
  <si>
    <t>Type of payment</t>
  </si>
  <si>
    <t>Drink</t>
  </si>
  <si>
    <t>Camp Counsellor</t>
  </si>
  <si>
    <t>Bathrooms</t>
  </si>
  <si>
    <t>Security</t>
  </si>
  <si>
    <t>Male</t>
  </si>
  <si>
    <t>Female</t>
  </si>
  <si>
    <t>Discount 10%</t>
  </si>
  <si>
    <t>Interest 15%</t>
  </si>
  <si>
    <t>Registration Cost(US)</t>
  </si>
  <si>
    <t>Gender</t>
  </si>
  <si>
    <t>Expenditure</t>
  </si>
  <si>
    <t>Total Expenditure</t>
  </si>
  <si>
    <t>Andrews</t>
  </si>
  <si>
    <t>Frank</t>
  </si>
  <si>
    <t>Kelly Andrews</t>
  </si>
  <si>
    <t>Lord's Street,Port of Spain</t>
  </si>
  <si>
    <t>1868-783-4732</t>
  </si>
  <si>
    <t>Nepaul</t>
  </si>
  <si>
    <t>Shilah</t>
  </si>
  <si>
    <t>Hawi Nepaul</t>
  </si>
  <si>
    <t>23 Prime Road St., Chaguanas</t>
  </si>
  <si>
    <t>1868-309-9392</t>
  </si>
  <si>
    <t>Gum</t>
  </si>
  <si>
    <t>Rice</t>
  </si>
  <si>
    <t>Kim Rice</t>
  </si>
  <si>
    <t>17 Levern St. Diego Martin, Port of Spain</t>
  </si>
  <si>
    <t>1868-938-3722</t>
  </si>
  <si>
    <t>Simple Filter-Football</t>
  </si>
  <si>
    <t>Advance Filter- Football</t>
  </si>
  <si>
    <t>$120</t>
  </si>
  <si>
    <t>Football Sum of Grand Total(TT)</t>
  </si>
  <si>
    <t>Basketball Sum of Grand Total(TT)</t>
  </si>
  <si>
    <t>Netball Sum of Grand Total(TT)</t>
  </si>
  <si>
    <t>Hockey Sum of Grand Total(TT)</t>
  </si>
  <si>
    <t>Swimming Sum of Grand Total(TT)</t>
  </si>
  <si>
    <t>Pivot Table</t>
  </si>
  <si>
    <t>Income VS Expenditure</t>
  </si>
  <si>
    <t xml:space="preserve">Income(TT) </t>
  </si>
  <si>
    <t>Expenditure(TT)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</si>
</sst>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43A4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343A40"/>
      <name val="Microsoft JhengHei"/>
      <family val="2"/>
    </font>
    <font>
      <sz val="11"/>
      <color theme="1"/>
      <name val="Calibri"/>
      <family val="2"/>
      <scheme val="minor"/>
    </font>
    <font>
      <b/>
      <sz val="15"/>
      <name val="Calibri"/>
      <family val="2"/>
      <scheme val="minor"/>
    </font>
    <font>
      <b/>
      <u val="double"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3">
    <xf numFmtId="0" fontId="0" fillId="0" borderId="0"/>
    <xf numFmtId="0" fontId="7" fillId="0" borderId="1" applyNumberFormat="0" applyFill="0" applyAlignment="0" applyProtection="0"/>
    <xf numFmtId="0" fontId="9" fillId="14" borderId="19" applyNumberFormat="0" applyFont="0" applyAlignment="0" applyProtection="0"/>
  </cellStyleXfs>
  <cellXfs count="167">
    <xf numFmtId="0" fontId="0" fillId="0" borderId="0" xfId="0"/>
    <xf numFmtId="0" fontId="0" fillId="0" borderId="2" xfId="0" applyBorder="1"/>
    <xf numFmtId="164" fontId="0" fillId="0" borderId="2" xfId="0" applyNumberFormat="1" applyBorder="1"/>
    <xf numFmtId="0" fontId="1" fillId="6" borderId="2" xfId="0" applyFont="1" applyFill="1" applyBorder="1"/>
    <xf numFmtId="0" fontId="1" fillId="5" borderId="2" xfId="0" applyFont="1" applyFill="1" applyBorder="1"/>
    <xf numFmtId="0" fontId="1" fillId="3" borderId="2" xfId="0" applyFont="1" applyFill="1" applyBorder="1"/>
    <xf numFmtId="0" fontId="0" fillId="7" borderId="2" xfId="0" applyFont="1" applyFill="1" applyBorder="1" applyAlignment="1">
      <alignment vertical="center"/>
    </xf>
    <xf numFmtId="14" fontId="5" fillId="7" borderId="2" xfId="0" applyNumberFormat="1" applyFont="1" applyFill="1" applyBorder="1" applyAlignment="1">
      <alignment horizontal="center" wrapText="1"/>
    </xf>
    <xf numFmtId="0" fontId="5" fillId="7" borderId="2" xfId="0" applyFont="1" applyFill="1" applyBorder="1" applyAlignment="1">
      <alignment horizontal="left" wrapText="1"/>
    </xf>
    <xf numFmtId="0" fontId="0" fillId="7" borderId="2" xfId="0" applyFill="1" applyBorder="1"/>
    <xf numFmtId="0" fontId="0" fillId="7" borderId="2" xfId="0" applyFont="1" applyFill="1" applyBorder="1"/>
    <xf numFmtId="0" fontId="4" fillId="7" borderId="2" xfId="0" applyFont="1" applyFill="1" applyBorder="1" applyAlignment="1">
      <alignment horizontal="left"/>
    </xf>
    <xf numFmtId="0" fontId="4" fillId="7" borderId="2" xfId="0" applyFont="1" applyFill="1" applyBorder="1" applyAlignment="1">
      <alignment horizontal="left" wrapText="1"/>
    </xf>
    <xf numFmtId="0" fontId="0" fillId="8" borderId="2" xfId="0" applyFont="1" applyFill="1" applyBorder="1"/>
    <xf numFmtId="14" fontId="0" fillId="8" borderId="2" xfId="0" applyNumberFormat="1" applyFill="1" applyBorder="1" applyAlignment="1">
      <alignment horizontal="center"/>
    </xf>
    <xf numFmtId="0" fontId="0" fillId="8" borderId="2" xfId="0" applyFill="1" applyBorder="1"/>
    <xf numFmtId="0" fontId="0" fillId="8" borderId="2" xfId="0" applyFont="1" applyFill="1" applyBorder="1" applyAlignment="1">
      <alignment vertical="center"/>
    </xf>
    <xf numFmtId="0" fontId="6" fillId="8" borderId="2" xfId="0" applyFont="1" applyFill="1" applyBorder="1" applyAlignment="1">
      <alignment horizontal="left"/>
    </xf>
    <xf numFmtId="0" fontId="0" fillId="9" borderId="2" xfId="0" applyFont="1" applyFill="1" applyBorder="1"/>
    <xf numFmtId="14" fontId="0" fillId="9" borderId="2" xfId="0" applyNumberFormat="1" applyFill="1" applyBorder="1" applyAlignment="1">
      <alignment horizontal="center"/>
    </xf>
    <xf numFmtId="0" fontId="4" fillId="9" borderId="2" xfId="0" applyFont="1" applyFill="1" applyBorder="1" applyAlignment="1">
      <alignment horizontal="left"/>
    </xf>
    <xf numFmtId="0" fontId="0" fillId="9" borderId="2" xfId="0" applyFill="1" applyBorder="1"/>
    <xf numFmtId="0" fontId="0" fillId="9" borderId="2" xfId="0" applyFont="1" applyFill="1" applyBorder="1" applyAlignment="1">
      <alignment vertical="center"/>
    </xf>
    <xf numFmtId="0" fontId="6" fillId="9" borderId="2" xfId="0" applyFont="1" applyFill="1" applyBorder="1" applyAlignment="1">
      <alignment horizontal="left"/>
    </xf>
    <xf numFmtId="0" fontId="0" fillId="10" borderId="2" xfId="0" applyFont="1" applyFill="1" applyBorder="1"/>
    <xf numFmtId="14" fontId="0" fillId="10" borderId="2" xfId="0" applyNumberFormat="1" applyFill="1" applyBorder="1" applyAlignment="1">
      <alignment horizontal="center"/>
    </xf>
    <xf numFmtId="0" fontId="6" fillId="10" borderId="2" xfId="0" applyFont="1" applyFill="1" applyBorder="1" applyAlignment="1">
      <alignment horizontal="left"/>
    </xf>
    <xf numFmtId="0" fontId="0" fillId="10" borderId="2" xfId="0" applyFill="1" applyBorder="1"/>
    <xf numFmtId="0" fontId="0" fillId="11" borderId="2" xfId="0" applyFill="1" applyBorder="1"/>
    <xf numFmtId="14" fontId="0" fillId="11" borderId="2" xfId="0" applyNumberFormat="1" applyFill="1" applyBorder="1" applyAlignment="1">
      <alignment horizontal="center"/>
    </xf>
    <xf numFmtId="0" fontId="6" fillId="11" borderId="2" xfId="0" applyFont="1" applyFill="1" applyBorder="1" applyAlignment="1">
      <alignment horizontal="left"/>
    </xf>
    <xf numFmtId="0" fontId="0" fillId="11" borderId="2" xfId="0" applyFont="1" applyFill="1" applyBorder="1"/>
    <xf numFmtId="0" fontId="8" fillId="8" borderId="2" xfId="0" applyFont="1" applyFill="1" applyBorder="1"/>
    <xf numFmtId="0" fontId="1" fillId="2" borderId="2" xfId="0" applyFont="1" applyFill="1" applyBorder="1"/>
    <xf numFmtId="0" fontId="0" fillId="7" borderId="3" xfId="0" applyFont="1" applyFill="1" applyBorder="1" applyAlignment="1">
      <alignment vertical="center"/>
    </xf>
    <xf numFmtId="0" fontId="0" fillId="7" borderId="3" xfId="0" applyFont="1" applyFill="1" applyBorder="1"/>
    <xf numFmtId="0" fontId="4" fillId="7" borderId="3" xfId="0" applyFont="1" applyFill="1" applyBorder="1"/>
    <xf numFmtId="0" fontId="0" fillId="7" borderId="4" xfId="0" applyFont="1" applyFill="1" applyBorder="1" applyAlignment="1">
      <alignment vertical="center"/>
    </xf>
    <xf numFmtId="0" fontId="0" fillId="7" borderId="4" xfId="0" applyFont="1" applyFill="1" applyBorder="1"/>
    <xf numFmtId="0" fontId="0" fillId="0" borderId="8" xfId="0" applyBorder="1"/>
    <xf numFmtId="164" fontId="0" fillId="0" borderId="9" xfId="0" applyNumberFormat="1" applyBorder="1"/>
    <xf numFmtId="0" fontId="0" fillId="0" borderId="10" xfId="0" applyBorder="1"/>
    <xf numFmtId="0" fontId="0" fillId="0" borderId="11" xfId="0" applyBorder="1"/>
    <xf numFmtId="0" fontId="2" fillId="2" borderId="5" xfId="0" applyFont="1" applyFill="1" applyBorder="1"/>
    <xf numFmtId="0" fontId="2" fillId="2" borderId="13" xfId="0" applyFont="1" applyFill="1" applyBorder="1"/>
    <xf numFmtId="0" fontId="2" fillId="2" borderId="6" xfId="0" applyFont="1" applyFill="1" applyBorder="1"/>
    <xf numFmtId="0" fontId="2" fillId="2" borderId="14" xfId="0" applyFont="1" applyFill="1" applyBorder="1"/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/>
    <xf numFmtId="0" fontId="0" fillId="7" borderId="8" xfId="0" applyFont="1" applyFill="1" applyBorder="1" applyAlignment="1">
      <alignment vertical="center"/>
    </xf>
    <xf numFmtId="164" fontId="0" fillId="7" borderId="9" xfId="0" applyNumberFormat="1" applyFill="1" applyBorder="1"/>
    <xf numFmtId="0" fontId="0" fillId="7" borderId="8" xfId="0" applyFont="1" applyFill="1" applyBorder="1"/>
    <xf numFmtId="0" fontId="0" fillId="0" borderId="0" xfId="0" applyBorder="1"/>
    <xf numFmtId="0" fontId="0" fillId="0" borderId="17" xfId="0" applyBorder="1"/>
    <xf numFmtId="0" fontId="1" fillId="2" borderId="11" xfId="0" applyFont="1" applyFill="1" applyBorder="1"/>
    <xf numFmtId="0" fontId="0" fillId="7" borderId="11" xfId="0" applyFill="1" applyBorder="1"/>
    <xf numFmtId="0" fontId="0" fillId="7" borderId="12" xfId="0" applyFill="1" applyBorder="1"/>
    <xf numFmtId="0" fontId="0" fillId="0" borderId="18" xfId="0" applyBorder="1"/>
    <xf numFmtId="0" fontId="0" fillId="0" borderId="9" xfId="0" applyBorder="1"/>
    <xf numFmtId="0" fontId="0" fillId="0" borderId="12" xfId="0" applyBorder="1"/>
    <xf numFmtId="0" fontId="1" fillId="13" borderId="5" xfId="0" applyFont="1" applyFill="1" applyBorder="1"/>
    <xf numFmtId="0" fontId="1" fillId="13" borderId="6" xfId="0" applyFont="1" applyFill="1" applyBorder="1"/>
    <xf numFmtId="0" fontId="1" fillId="13" borderId="7" xfId="0" applyFont="1" applyFill="1" applyBorder="1"/>
    <xf numFmtId="0" fontId="0" fillId="7" borderId="15" xfId="0" applyFill="1" applyBorder="1"/>
    <xf numFmtId="0" fontId="0" fillId="7" borderId="0" xfId="0" applyFill="1" applyBorder="1"/>
    <xf numFmtId="0" fontId="0" fillId="7" borderId="16" xfId="0" applyFill="1" applyBorder="1"/>
    <xf numFmtId="0" fontId="0" fillId="7" borderId="17" xfId="0" applyFill="1" applyBorder="1"/>
    <xf numFmtId="0" fontId="2" fillId="12" borderId="20" xfId="0" applyFont="1" applyFill="1" applyBorder="1"/>
    <xf numFmtId="0" fontId="2" fillId="12" borderId="21" xfId="0" applyFont="1" applyFill="1" applyBorder="1"/>
    <xf numFmtId="0" fontId="2" fillId="12" borderId="22" xfId="0" applyFont="1" applyFill="1" applyBorder="1"/>
    <xf numFmtId="0" fontId="0" fillId="0" borderId="25" xfId="0" applyBorder="1"/>
    <xf numFmtId="0" fontId="0" fillId="0" borderId="26" xfId="0" applyBorder="1"/>
    <xf numFmtId="164" fontId="0" fillId="0" borderId="26" xfId="0" applyNumberFormat="1" applyBorder="1"/>
    <xf numFmtId="164" fontId="0" fillId="0" borderId="27" xfId="0" applyNumberFormat="1" applyBorder="1"/>
    <xf numFmtId="0" fontId="2" fillId="3" borderId="20" xfId="0" applyFont="1" applyFill="1" applyBorder="1"/>
    <xf numFmtId="0" fontId="2" fillId="3" borderId="21" xfId="0" applyFont="1" applyFill="1" applyBorder="1"/>
    <xf numFmtId="0" fontId="2" fillId="3" borderId="21" xfId="0" applyFont="1" applyFill="1" applyBorder="1" applyAlignment="1">
      <alignment horizontal="center"/>
    </xf>
    <xf numFmtId="0" fontId="1" fillId="3" borderId="21" xfId="0" applyFont="1" applyFill="1" applyBorder="1"/>
    <xf numFmtId="0" fontId="1" fillId="3" borderId="22" xfId="0" applyFont="1" applyFill="1" applyBorder="1"/>
    <xf numFmtId="0" fontId="0" fillId="8" borderId="23" xfId="0" applyFill="1" applyBorder="1"/>
    <xf numFmtId="164" fontId="0" fillId="8" borderId="24" xfId="0" applyNumberFormat="1" applyFill="1" applyBorder="1"/>
    <xf numFmtId="0" fontId="0" fillId="8" borderId="25" xfId="0" applyFill="1" applyBorder="1"/>
    <xf numFmtId="0" fontId="0" fillId="8" borderId="26" xfId="0" applyFill="1" applyBorder="1"/>
    <xf numFmtId="0" fontId="1" fillId="3" borderId="26" xfId="0" applyFont="1" applyFill="1" applyBorder="1"/>
    <xf numFmtId="0" fontId="0" fillId="8" borderId="27" xfId="0" applyFill="1" applyBorder="1"/>
    <xf numFmtId="0" fontId="2" fillId="4" borderId="20" xfId="0" applyFont="1" applyFill="1" applyBorder="1"/>
    <xf numFmtId="0" fontId="2" fillId="4" borderId="21" xfId="0" applyFont="1" applyFill="1" applyBorder="1"/>
    <xf numFmtId="0" fontId="2" fillId="4" borderId="21" xfId="0" applyFont="1" applyFill="1" applyBorder="1" applyAlignment="1">
      <alignment horizontal="center"/>
    </xf>
    <xf numFmtId="0" fontId="1" fillId="4" borderId="21" xfId="0" applyFont="1" applyFill="1" applyBorder="1"/>
    <xf numFmtId="0" fontId="1" fillId="4" borderId="22" xfId="0" applyFont="1" applyFill="1" applyBorder="1"/>
    <xf numFmtId="0" fontId="0" fillId="9" borderId="23" xfId="0" applyFont="1" applyFill="1" applyBorder="1"/>
    <xf numFmtId="164" fontId="0" fillId="9" borderId="24" xfId="0" applyNumberFormat="1" applyFill="1" applyBorder="1"/>
    <xf numFmtId="0" fontId="0" fillId="9" borderId="23" xfId="0" applyFill="1" applyBorder="1"/>
    <xf numFmtId="0" fontId="1" fillId="4" borderId="2" xfId="0" applyFont="1" applyFill="1" applyBorder="1"/>
    <xf numFmtId="0" fontId="0" fillId="9" borderId="25" xfId="0" applyFill="1" applyBorder="1"/>
    <xf numFmtId="0" fontId="0" fillId="9" borderId="26" xfId="0" applyFill="1" applyBorder="1"/>
    <xf numFmtId="0" fontId="1" fillId="4" borderId="26" xfId="0" applyFont="1" applyFill="1" applyBorder="1"/>
    <xf numFmtId="0" fontId="0" fillId="9" borderId="27" xfId="0" applyFill="1" applyBorder="1"/>
    <xf numFmtId="0" fontId="2" fillId="6" borderId="20" xfId="0" applyFont="1" applyFill="1" applyBorder="1"/>
    <xf numFmtId="0" fontId="2" fillId="6" borderId="21" xfId="0" applyFont="1" applyFill="1" applyBorder="1"/>
    <xf numFmtId="0" fontId="2" fillId="6" borderId="21" xfId="0" applyFont="1" applyFill="1" applyBorder="1" applyAlignment="1">
      <alignment horizontal="center"/>
    </xf>
    <xf numFmtId="0" fontId="1" fillId="6" borderId="21" xfId="0" applyFont="1" applyFill="1" applyBorder="1"/>
    <xf numFmtId="0" fontId="1" fillId="6" borderId="22" xfId="0" applyFont="1" applyFill="1" applyBorder="1"/>
    <xf numFmtId="0" fontId="0" fillId="10" borderId="23" xfId="0" applyFont="1" applyFill="1" applyBorder="1"/>
    <xf numFmtId="164" fontId="0" fillId="10" borderId="24" xfId="0" applyNumberFormat="1" applyFill="1" applyBorder="1"/>
    <xf numFmtId="0" fontId="0" fillId="10" borderId="23" xfId="0" applyFill="1" applyBorder="1"/>
    <xf numFmtId="0" fontId="0" fillId="10" borderId="24" xfId="0" applyFill="1" applyBorder="1"/>
    <xf numFmtId="0" fontId="0" fillId="10" borderId="25" xfId="0" applyFill="1" applyBorder="1"/>
    <xf numFmtId="0" fontId="0" fillId="10" borderId="26" xfId="0" applyFill="1" applyBorder="1"/>
    <xf numFmtId="0" fontId="0" fillId="10" borderId="27" xfId="0" applyFill="1" applyBorder="1"/>
    <xf numFmtId="0" fontId="2" fillId="5" borderId="20" xfId="0" applyFont="1" applyFill="1" applyBorder="1"/>
    <xf numFmtId="0" fontId="2" fillId="5" borderId="21" xfId="0" applyFont="1" applyFill="1" applyBorder="1"/>
    <xf numFmtId="0" fontId="2" fillId="5" borderId="21" xfId="0" applyFont="1" applyFill="1" applyBorder="1" applyAlignment="1">
      <alignment horizontal="center"/>
    </xf>
    <xf numFmtId="0" fontId="1" fillId="5" borderId="21" xfId="0" applyFont="1" applyFill="1" applyBorder="1"/>
    <xf numFmtId="0" fontId="1" fillId="5" borderId="22" xfId="0" applyFont="1" applyFill="1" applyBorder="1"/>
    <xf numFmtId="0" fontId="0" fillId="11" borderId="23" xfId="0" applyFill="1" applyBorder="1"/>
    <xf numFmtId="164" fontId="0" fillId="11" borderId="24" xfId="0" applyNumberFormat="1" applyFill="1" applyBorder="1"/>
    <xf numFmtId="0" fontId="0" fillId="11" borderId="25" xfId="0" applyFill="1" applyBorder="1"/>
    <xf numFmtId="0" fontId="0" fillId="11" borderId="26" xfId="0" applyFill="1" applyBorder="1"/>
    <xf numFmtId="0" fontId="1" fillId="5" borderId="26" xfId="0" applyFont="1" applyFill="1" applyBorder="1"/>
    <xf numFmtId="0" fontId="0" fillId="11" borderId="27" xfId="0" applyFill="1" applyBorder="1"/>
    <xf numFmtId="0" fontId="0" fillId="2" borderId="0" xfId="0" applyFill="1"/>
    <xf numFmtId="0" fontId="1" fillId="2" borderId="0" xfId="0" applyFont="1" applyFill="1"/>
    <xf numFmtId="0" fontId="0" fillId="2" borderId="23" xfId="0" applyFill="1" applyBorder="1"/>
    <xf numFmtId="0" fontId="0" fillId="2" borderId="2" xfId="0" applyFill="1" applyBorder="1"/>
    <xf numFmtId="164" fontId="0" fillId="2" borderId="2" xfId="0" applyNumberFormat="1" applyFill="1" applyBorder="1"/>
    <xf numFmtId="164" fontId="0" fillId="2" borderId="24" xfId="0" applyNumberFormat="1" applyFill="1" applyBorder="1"/>
    <xf numFmtId="0" fontId="0" fillId="4" borderId="23" xfId="0" applyFill="1" applyBorder="1"/>
    <xf numFmtId="0" fontId="0" fillId="4" borderId="2" xfId="0" applyFill="1" applyBorder="1"/>
    <xf numFmtId="164" fontId="0" fillId="4" borderId="2" xfId="0" applyNumberFormat="1" applyFill="1" applyBorder="1"/>
    <xf numFmtId="164" fontId="0" fillId="4" borderId="24" xfId="0" applyNumberFormat="1" applyFill="1" applyBorder="1"/>
    <xf numFmtId="0" fontId="0" fillId="6" borderId="23" xfId="0" applyFill="1" applyBorder="1"/>
    <xf numFmtId="0" fontId="0" fillId="6" borderId="2" xfId="0" applyFill="1" applyBorder="1"/>
    <xf numFmtId="164" fontId="0" fillId="6" borderId="2" xfId="0" applyNumberFormat="1" applyFill="1" applyBorder="1"/>
    <xf numFmtId="164" fontId="0" fillId="6" borderId="24" xfId="0" applyNumberFormat="1" applyFill="1" applyBorder="1"/>
    <xf numFmtId="0" fontId="0" fillId="5" borderId="23" xfId="0" applyFill="1" applyBorder="1"/>
    <xf numFmtId="0" fontId="0" fillId="5" borderId="2" xfId="0" applyFill="1" applyBorder="1"/>
    <xf numFmtId="164" fontId="0" fillId="5" borderId="2" xfId="0" applyNumberFormat="1" applyFill="1" applyBorder="1"/>
    <xf numFmtId="164" fontId="0" fillId="5" borderId="24" xfId="0" applyNumberFormat="1" applyFill="1" applyBorder="1"/>
    <xf numFmtId="0" fontId="0" fillId="3" borderId="23" xfId="0" applyFill="1" applyBorder="1"/>
    <xf numFmtId="0" fontId="0" fillId="3" borderId="2" xfId="0" applyFill="1" applyBorder="1"/>
    <xf numFmtId="164" fontId="0" fillId="3" borderId="2" xfId="0" applyNumberFormat="1" applyFill="1" applyBorder="1"/>
    <xf numFmtId="164" fontId="0" fillId="3" borderId="24" xfId="0" applyNumberFormat="1" applyFill="1" applyBorder="1"/>
    <xf numFmtId="0" fontId="11" fillId="2" borderId="0" xfId="0" applyFont="1" applyFill="1"/>
    <xf numFmtId="0" fontId="0" fillId="7" borderId="0" xfId="0" applyFill="1"/>
    <xf numFmtId="164" fontId="0" fillId="0" borderId="0" xfId="0" applyNumberFormat="1"/>
    <xf numFmtId="164" fontId="0" fillId="0" borderId="28" xfId="0" applyNumberFormat="1" applyBorder="1"/>
    <xf numFmtId="164" fontId="0" fillId="0" borderId="29" xfId="0" applyNumberFormat="1" applyBorder="1"/>
    <xf numFmtId="164" fontId="12" fillId="15" borderId="0" xfId="0" applyNumberFormat="1" applyFont="1" applyFill="1" applyAlignment="1">
      <alignment horizontal="center"/>
    </xf>
    <xf numFmtId="0" fontId="2" fillId="15" borderId="20" xfId="0" applyFont="1" applyFill="1" applyBorder="1"/>
    <xf numFmtId="0" fontId="2" fillId="15" borderId="22" xfId="0" applyFont="1" applyFill="1" applyBorder="1"/>
    <xf numFmtId="164" fontId="0" fillId="3" borderId="27" xfId="0" applyNumberFormat="1" applyFill="1" applyBorder="1"/>
    <xf numFmtId="0" fontId="1" fillId="2" borderId="20" xfId="0" applyFont="1" applyFill="1" applyBorder="1"/>
    <xf numFmtId="164" fontId="0" fillId="2" borderId="22" xfId="0" applyNumberFormat="1" applyFill="1" applyBorder="1"/>
    <xf numFmtId="0" fontId="1" fillId="4" borderId="23" xfId="0" applyFont="1" applyFill="1" applyBorder="1"/>
    <xf numFmtId="0" fontId="1" fillId="6" borderId="23" xfId="0" applyFont="1" applyFill="1" applyBorder="1"/>
    <xf numFmtId="0" fontId="1" fillId="5" borderId="23" xfId="0" applyFont="1" applyFill="1" applyBorder="1"/>
    <xf numFmtId="0" fontId="1" fillId="3" borderId="25" xfId="0" applyFont="1" applyFill="1" applyBorder="1"/>
    <xf numFmtId="164" fontId="0" fillId="16" borderId="2" xfId="0" applyNumberFormat="1" applyFill="1" applyBorder="1"/>
    <xf numFmtId="0" fontId="7" fillId="2" borderId="0" xfId="1" applyFill="1" applyBorder="1" applyAlignment="1">
      <alignment horizontal="center"/>
    </xf>
    <xf numFmtId="0" fontId="7" fillId="4" borderId="0" xfId="1" applyFill="1" applyBorder="1" applyAlignment="1">
      <alignment horizontal="center"/>
    </xf>
    <xf numFmtId="0" fontId="10" fillId="6" borderId="19" xfId="2" applyFont="1" applyFill="1" applyAlignment="1">
      <alignment horizontal="center"/>
    </xf>
    <xf numFmtId="0" fontId="7" fillId="5" borderId="0" xfId="1" applyFill="1" applyBorder="1" applyAlignment="1">
      <alignment horizontal="center"/>
    </xf>
    <xf numFmtId="0" fontId="7" fillId="3" borderId="0" xfId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15" borderId="0" xfId="0" applyFont="1" applyFill="1" applyAlignment="1">
      <alignment horizontal="center"/>
    </xf>
    <xf numFmtId="0" fontId="7" fillId="0" borderId="0" xfId="1" applyBorder="1" applyAlignment="1">
      <alignment horizontal="center"/>
    </xf>
  </cellXfs>
  <cellStyles count="3">
    <cellStyle name="Heading 1" xfId="1" builtinId="16"/>
    <cellStyle name="Normal" xfId="0" builtinId="0"/>
    <cellStyle name="Note" xfId="2" builtinId="10"/>
  </cellStyles>
  <dxfs count="40"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horizontal style="thin">
          <color auto="1"/>
        </horizontal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horizontal style="thin">
          <color auto="1"/>
        </horizontal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horizontal style="thin">
          <color auto="1"/>
        </horizontal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horizontal style="thin">
          <color auto="1"/>
        </horizontal>
      </border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horizontal style="thin">
          <color auto="1"/>
        </horizontal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horizontal style="thin">
          <color auto="1"/>
        </horizontal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horizontal style="thin">
          <color auto="1"/>
        </horizontal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horizontal style="thin">
          <color auto="1"/>
        </horizontal>
      </border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horizontal style="thin">
          <color auto="1"/>
        </horizontal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horizontal style="thin">
          <color auto="1"/>
        </horizontal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horizontal style="thin">
          <color auto="1"/>
        </horizontal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horizontal style="thin">
          <color auto="1"/>
        </horizontal>
      </border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horizontal style="thin">
          <color auto="1"/>
        </horizontal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horizontal style="thin">
          <color auto="1"/>
        </horizontal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horizontal style="thin">
          <color auto="1"/>
        </horizontal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horizontal style="thin">
          <color auto="1"/>
        </horizontal>
      </border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horizontal style="thin">
          <color auto="1"/>
        </horizontal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horizontal style="thin">
          <color auto="1"/>
        </horizontal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horizontal style="thin">
          <color auto="1"/>
        </horizontal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horizontal style="thin">
          <color auto="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8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0.xml"/><Relationship Id="rId1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chartsheet" Target="chartsheets/sheet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Income VS Expenditure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'Income VS Expenditure'!$B$2</c:f>
              <c:strCache>
                <c:ptCount val="1"/>
                <c:pt idx="0">
                  <c:v>Income(TT) 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accent6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5000"/>
                </a:schemeClr>
              </a:contourClr>
            </a:sp3d>
          </c:spPr>
          <c:invertIfNegative val="0"/>
          <c:cat>
            <c:strRef>
              <c:f>'Income VS Expenditure'!$A$3:$A$7</c:f>
              <c:strCache>
                <c:ptCount val="5"/>
                <c:pt idx="0">
                  <c:v>Football</c:v>
                </c:pt>
                <c:pt idx="1">
                  <c:v>Basketball</c:v>
                </c:pt>
                <c:pt idx="2">
                  <c:v>Netball</c:v>
                </c:pt>
                <c:pt idx="3">
                  <c:v>Hockey</c:v>
                </c:pt>
                <c:pt idx="4">
                  <c:v>Swimming</c:v>
                </c:pt>
              </c:strCache>
            </c:strRef>
          </c:cat>
          <c:val>
            <c:numRef>
              <c:f>'Income VS Expenditure'!$B$3:$B$7</c:f>
              <c:numCache>
                <c:formatCode>"$"#,##0.00</c:formatCode>
                <c:ptCount val="5"/>
                <c:pt idx="0">
                  <c:v>14400</c:v>
                </c:pt>
                <c:pt idx="1">
                  <c:v>24000</c:v>
                </c:pt>
                <c:pt idx="2">
                  <c:v>23310</c:v>
                </c:pt>
                <c:pt idx="3">
                  <c:v>27060</c:v>
                </c:pt>
                <c:pt idx="4">
                  <c:v>38359.999999999993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E5-401F-A398-A68F375231F9}"/>
            </c:ext>
          </c:extLst>
        </c:ser>
        <c:ser>
          <c:idx val="1"/>
          <c:order val="1"/>
          <c:tx>
            <c:strRef>
              <c:f>'Income VS Expenditure'!$C$2</c:f>
              <c:strCache>
                <c:ptCount val="1"/>
                <c:pt idx="0">
                  <c:v>Expenditure(TT)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accent5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5000"/>
                </a:schemeClr>
              </a:contourClr>
            </a:sp3d>
          </c:spPr>
          <c:invertIfNegative val="0"/>
          <c:cat>
            <c:strRef>
              <c:f>'Income VS Expenditure'!$A$3:$A$7</c:f>
              <c:strCache>
                <c:ptCount val="5"/>
                <c:pt idx="0">
                  <c:v>Football</c:v>
                </c:pt>
                <c:pt idx="1">
                  <c:v>Basketball</c:v>
                </c:pt>
                <c:pt idx="2">
                  <c:v>Netball</c:v>
                </c:pt>
                <c:pt idx="3">
                  <c:v>Hockey</c:v>
                </c:pt>
                <c:pt idx="4">
                  <c:v>Swimming</c:v>
                </c:pt>
              </c:strCache>
            </c:strRef>
          </c:cat>
          <c:val>
            <c:numRef>
              <c:f>'Income VS Expenditure'!$C$3:$C$7</c:f>
              <c:numCache>
                <c:formatCode>"$"#,##0.00</c:formatCode>
                <c:ptCount val="5"/>
                <c:pt idx="0">
                  <c:v>20625</c:v>
                </c:pt>
                <c:pt idx="1">
                  <c:v>20625</c:v>
                </c:pt>
                <c:pt idx="2">
                  <c:v>17875</c:v>
                </c:pt>
                <c:pt idx="3">
                  <c:v>16500</c:v>
                </c:pt>
                <c:pt idx="4">
                  <c:v>17875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E5-401F-A398-A68F375231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76356176"/>
        <c:axId val="476356504"/>
        <c:axId val="0"/>
      </c:bar3DChart>
      <c:catAx>
        <c:axId val="476356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356504"/>
        <c:crosses val="autoZero"/>
        <c:auto val="1"/>
        <c:lblAlgn val="ctr"/>
        <c:lblOffset val="100"/>
        <c:noMultiLvlLbl val="0"/>
      </c:catAx>
      <c:valAx>
        <c:axId val="476356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Finances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3561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Distribution of Expenditure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Expenditure!$A$3</c:f>
              <c:strCache>
                <c:ptCount val="1"/>
                <c:pt idx="0">
                  <c:v>Football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Expenditure!$B$2:$K$2</c:f>
              <c:strCache>
                <c:ptCount val="10"/>
                <c:pt idx="0">
                  <c:v>Number of Campers</c:v>
                </c:pt>
                <c:pt idx="1">
                  <c:v>Food</c:v>
                </c:pt>
                <c:pt idx="2">
                  <c:v>Drink</c:v>
                </c:pt>
                <c:pt idx="3">
                  <c:v>Uniform</c:v>
                </c:pt>
                <c:pt idx="4">
                  <c:v>Camp Counsellor</c:v>
                </c:pt>
                <c:pt idx="5">
                  <c:v>Labour</c:v>
                </c:pt>
                <c:pt idx="6">
                  <c:v>Bathrooms</c:v>
                </c:pt>
                <c:pt idx="7">
                  <c:v>Security</c:v>
                </c:pt>
                <c:pt idx="8">
                  <c:v>Total Costs(TT)</c:v>
                </c:pt>
                <c:pt idx="9">
                  <c:v>Total Costs(US)</c:v>
                </c:pt>
              </c:strCache>
            </c:strRef>
          </c:cat>
          <c:val>
            <c:numRef>
              <c:f>Expenditure!$B$3:$K$3</c:f>
              <c:numCache>
                <c:formatCode>"$"#,##0.00</c:formatCode>
                <c:ptCount val="10"/>
                <c:pt idx="0" formatCode="General">
                  <c:v>15</c:v>
                </c:pt>
                <c:pt idx="1">
                  <c:v>100</c:v>
                </c:pt>
                <c:pt idx="2">
                  <c:v>80</c:v>
                </c:pt>
                <c:pt idx="3">
                  <c:v>190</c:v>
                </c:pt>
                <c:pt idx="4">
                  <c:v>15</c:v>
                </c:pt>
                <c:pt idx="5">
                  <c:v>30</c:v>
                </c:pt>
                <c:pt idx="6">
                  <c:v>600</c:v>
                </c:pt>
                <c:pt idx="7">
                  <c:v>360</c:v>
                </c:pt>
                <c:pt idx="8">
                  <c:v>20625</c:v>
                </c:pt>
                <c:pt idx="9">
                  <c:v>2578.125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66-4FBE-AC69-8CF824CB0B75}"/>
            </c:ext>
          </c:extLst>
        </c:ser>
        <c:ser>
          <c:idx val="1"/>
          <c:order val="1"/>
          <c:tx>
            <c:strRef>
              <c:f>Expenditure!$A$4</c:f>
              <c:strCache>
                <c:ptCount val="1"/>
                <c:pt idx="0">
                  <c:v>Basketball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Expenditure!$B$2:$K$2</c:f>
              <c:strCache>
                <c:ptCount val="10"/>
                <c:pt idx="0">
                  <c:v>Number of Campers</c:v>
                </c:pt>
                <c:pt idx="1">
                  <c:v>Food</c:v>
                </c:pt>
                <c:pt idx="2">
                  <c:v>Drink</c:v>
                </c:pt>
                <c:pt idx="3">
                  <c:v>Uniform</c:v>
                </c:pt>
                <c:pt idx="4">
                  <c:v>Camp Counsellor</c:v>
                </c:pt>
                <c:pt idx="5">
                  <c:v>Labour</c:v>
                </c:pt>
                <c:pt idx="6">
                  <c:v>Bathrooms</c:v>
                </c:pt>
                <c:pt idx="7">
                  <c:v>Security</c:v>
                </c:pt>
                <c:pt idx="8">
                  <c:v>Total Costs(TT)</c:v>
                </c:pt>
                <c:pt idx="9">
                  <c:v>Total Costs(US)</c:v>
                </c:pt>
              </c:strCache>
            </c:strRef>
          </c:cat>
          <c:val>
            <c:numRef>
              <c:f>Expenditure!$B$4:$K$4</c:f>
              <c:numCache>
                <c:formatCode>"$"#,##0.00</c:formatCode>
                <c:ptCount val="10"/>
                <c:pt idx="0" formatCode="General">
                  <c:v>15</c:v>
                </c:pt>
                <c:pt idx="1">
                  <c:v>100</c:v>
                </c:pt>
                <c:pt idx="2">
                  <c:v>80</c:v>
                </c:pt>
                <c:pt idx="3">
                  <c:v>190</c:v>
                </c:pt>
                <c:pt idx="4">
                  <c:v>15</c:v>
                </c:pt>
                <c:pt idx="5">
                  <c:v>30</c:v>
                </c:pt>
                <c:pt idx="6">
                  <c:v>600</c:v>
                </c:pt>
                <c:pt idx="7">
                  <c:v>360</c:v>
                </c:pt>
                <c:pt idx="8">
                  <c:v>20625</c:v>
                </c:pt>
                <c:pt idx="9">
                  <c:v>2578.125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66-4FBE-AC69-8CF824CB0B75}"/>
            </c:ext>
          </c:extLst>
        </c:ser>
        <c:ser>
          <c:idx val="2"/>
          <c:order val="2"/>
          <c:tx>
            <c:strRef>
              <c:f>Expenditure!$A$5</c:f>
              <c:strCache>
                <c:ptCount val="1"/>
                <c:pt idx="0">
                  <c:v>Netball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Expenditure!$B$2:$K$2</c:f>
              <c:strCache>
                <c:ptCount val="10"/>
                <c:pt idx="0">
                  <c:v>Number of Campers</c:v>
                </c:pt>
                <c:pt idx="1">
                  <c:v>Food</c:v>
                </c:pt>
                <c:pt idx="2">
                  <c:v>Drink</c:v>
                </c:pt>
                <c:pt idx="3">
                  <c:v>Uniform</c:v>
                </c:pt>
                <c:pt idx="4">
                  <c:v>Camp Counsellor</c:v>
                </c:pt>
                <c:pt idx="5">
                  <c:v>Labour</c:v>
                </c:pt>
                <c:pt idx="6">
                  <c:v>Bathrooms</c:v>
                </c:pt>
                <c:pt idx="7">
                  <c:v>Security</c:v>
                </c:pt>
                <c:pt idx="8">
                  <c:v>Total Costs(TT)</c:v>
                </c:pt>
                <c:pt idx="9">
                  <c:v>Total Costs(US)</c:v>
                </c:pt>
              </c:strCache>
            </c:strRef>
          </c:cat>
          <c:val>
            <c:numRef>
              <c:f>Expenditure!$B$5:$K$5</c:f>
              <c:numCache>
                <c:formatCode>"$"#,##0.00</c:formatCode>
                <c:ptCount val="10"/>
                <c:pt idx="0" formatCode="General">
                  <c:v>13</c:v>
                </c:pt>
                <c:pt idx="1">
                  <c:v>100</c:v>
                </c:pt>
                <c:pt idx="2">
                  <c:v>80</c:v>
                </c:pt>
                <c:pt idx="3">
                  <c:v>190</c:v>
                </c:pt>
                <c:pt idx="4">
                  <c:v>15</c:v>
                </c:pt>
                <c:pt idx="5">
                  <c:v>30</c:v>
                </c:pt>
                <c:pt idx="6">
                  <c:v>600</c:v>
                </c:pt>
                <c:pt idx="7">
                  <c:v>360</c:v>
                </c:pt>
                <c:pt idx="8">
                  <c:v>17875</c:v>
                </c:pt>
                <c:pt idx="9">
                  <c:v>2234.375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66-4FBE-AC69-8CF824CB0B75}"/>
            </c:ext>
          </c:extLst>
        </c:ser>
        <c:ser>
          <c:idx val="3"/>
          <c:order val="3"/>
          <c:tx>
            <c:strRef>
              <c:f>Expenditure!$A$6</c:f>
              <c:strCache>
                <c:ptCount val="1"/>
                <c:pt idx="0">
                  <c:v>Hockey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Expenditure!$B$2:$K$2</c:f>
              <c:strCache>
                <c:ptCount val="10"/>
                <c:pt idx="0">
                  <c:v>Number of Campers</c:v>
                </c:pt>
                <c:pt idx="1">
                  <c:v>Food</c:v>
                </c:pt>
                <c:pt idx="2">
                  <c:v>Drink</c:v>
                </c:pt>
                <c:pt idx="3">
                  <c:v>Uniform</c:v>
                </c:pt>
                <c:pt idx="4">
                  <c:v>Camp Counsellor</c:v>
                </c:pt>
                <c:pt idx="5">
                  <c:v>Labour</c:v>
                </c:pt>
                <c:pt idx="6">
                  <c:v>Bathrooms</c:v>
                </c:pt>
                <c:pt idx="7">
                  <c:v>Security</c:v>
                </c:pt>
                <c:pt idx="8">
                  <c:v>Total Costs(TT)</c:v>
                </c:pt>
                <c:pt idx="9">
                  <c:v>Total Costs(US)</c:v>
                </c:pt>
              </c:strCache>
            </c:strRef>
          </c:cat>
          <c:val>
            <c:numRef>
              <c:f>Expenditure!$B$6:$K$6</c:f>
              <c:numCache>
                <c:formatCode>"$"#,##0.00</c:formatCode>
                <c:ptCount val="10"/>
                <c:pt idx="0" formatCode="General">
                  <c:v>12</c:v>
                </c:pt>
                <c:pt idx="1">
                  <c:v>100</c:v>
                </c:pt>
                <c:pt idx="2">
                  <c:v>80</c:v>
                </c:pt>
                <c:pt idx="3">
                  <c:v>190</c:v>
                </c:pt>
                <c:pt idx="4">
                  <c:v>15</c:v>
                </c:pt>
                <c:pt idx="5">
                  <c:v>30</c:v>
                </c:pt>
                <c:pt idx="6">
                  <c:v>600</c:v>
                </c:pt>
                <c:pt idx="7">
                  <c:v>360</c:v>
                </c:pt>
                <c:pt idx="8">
                  <c:v>16500</c:v>
                </c:pt>
                <c:pt idx="9">
                  <c:v>2062.5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66-4FBE-AC69-8CF824CB0B75}"/>
            </c:ext>
          </c:extLst>
        </c:ser>
        <c:ser>
          <c:idx val="4"/>
          <c:order val="4"/>
          <c:tx>
            <c:strRef>
              <c:f>Expenditure!$A$7</c:f>
              <c:strCache>
                <c:ptCount val="1"/>
                <c:pt idx="0">
                  <c:v>Swimming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Expenditure!$B$2:$K$2</c:f>
              <c:strCache>
                <c:ptCount val="10"/>
                <c:pt idx="0">
                  <c:v>Number of Campers</c:v>
                </c:pt>
                <c:pt idx="1">
                  <c:v>Food</c:v>
                </c:pt>
                <c:pt idx="2">
                  <c:v>Drink</c:v>
                </c:pt>
                <c:pt idx="3">
                  <c:v>Uniform</c:v>
                </c:pt>
                <c:pt idx="4">
                  <c:v>Camp Counsellor</c:v>
                </c:pt>
                <c:pt idx="5">
                  <c:v>Labour</c:v>
                </c:pt>
                <c:pt idx="6">
                  <c:v>Bathrooms</c:v>
                </c:pt>
                <c:pt idx="7">
                  <c:v>Security</c:v>
                </c:pt>
                <c:pt idx="8">
                  <c:v>Total Costs(TT)</c:v>
                </c:pt>
                <c:pt idx="9">
                  <c:v>Total Costs(US)</c:v>
                </c:pt>
              </c:strCache>
            </c:strRef>
          </c:cat>
          <c:val>
            <c:numRef>
              <c:f>Expenditure!$B$7:$K$7</c:f>
              <c:numCache>
                <c:formatCode>"$"#,##0.00</c:formatCode>
                <c:ptCount val="10"/>
                <c:pt idx="0" formatCode="General">
                  <c:v>13</c:v>
                </c:pt>
                <c:pt idx="1">
                  <c:v>100</c:v>
                </c:pt>
                <c:pt idx="2">
                  <c:v>80</c:v>
                </c:pt>
                <c:pt idx="3">
                  <c:v>190</c:v>
                </c:pt>
                <c:pt idx="4">
                  <c:v>15</c:v>
                </c:pt>
                <c:pt idx="5">
                  <c:v>30</c:v>
                </c:pt>
                <c:pt idx="6">
                  <c:v>600</c:v>
                </c:pt>
                <c:pt idx="7">
                  <c:v>360</c:v>
                </c:pt>
                <c:pt idx="8">
                  <c:v>17875</c:v>
                </c:pt>
                <c:pt idx="9">
                  <c:v>2234.375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66-4FBE-AC69-8CF824CB0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84756408"/>
        <c:axId val="484756736"/>
        <c:axId val="0"/>
      </c:bar3DChart>
      <c:catAx>
        <c:axId val="484756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Expenditure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756736"/>
        <c:crosses val="autoZero"/>
        <c:auto val="1"/>
        <c:lblAlgn val="ctr"/>
        <c:lblOffset val="100"/>
        <c:noMultiLvlLbl val="0"/>
      </c:catAx>
      <c:valAx>
        <c:axId val="48475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Fees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756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>
      <a:glow rad="101600">
        <a:schemeClr val="accent1">
          <a:satMod val="175000"/>
          <a:alpha val="40000"/>
        </a:schemeClr>
      </a:glow>
    </a:effectLst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89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8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4539" cy="628436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2276" cy="6279931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C" refreshedDate="44427.575082986114" createdVersion="6" refreshedVersion="6" minRefreshableVersion="3" recordCount="15">
  <cacheSource type="worksheet">
    <worksheetSource ref="A3:L18" sheet="Football"/>
  </cacheSource>
  <cacheFields count="12">
    <cacheField name="Surname" numFmtId="0">
      <sharedItems/>
    </cacheField>
    <cacheField name="First Name" numFmtId="0">
      <sharedItems/>
    </cacheField>
    <cacheField name="Gender" numFmtId="0">
      <sharedItems/>
    </cacheField>
    <cacheField name="Parent's Name" numFmtId="0">
      <sharedItems/>
    </cacheField>
    <cacheField name="Date of Birth (dd/mm/yr)" numFmtId="14">
      <sharedItems containsSemiMixedTypes="0" containsNonDate="0" containsDate="1" containsString="0" minDate="2007-03-13T00:00:00" maxDate="2007-12-17T00:00:00"/>
    </cacheField>
    <cacheField name="Address" numFmtId="0">
      <sharedItems/>
    </cacheField>
    <cacheField name="Contact Information" numFmtId="0">
      <sharedItems/>
    </cacheField>
    <cacheField name="Uniform Size" numFmtId="0">
      <sharedItems/>
    </cacheField>
    <cacheField name="Sport" numFmtId="0">
      <sharedItems/>
    </cacheField>
    <cacheField name="Registration Cost(US)" numFmtId="0">
      <sharedItems/>
    </cacheField>
    <cacheField name="Method Of Payment" numFmtId="0">
      <sharedItems/>
    </cacheField>
    <cacheField name="Grand Total(TT)" numFmtId="164">
      <sharedItems containsSemiMixedTypes="0" containsString="0" containsNumber="1" containsInteger="1" minValue="864" maxValue="1104" count="2">
        <n v="864"/>
        <n v="110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PC" refreshedDate="44427.57717650463" createdVersion="6" refreshedVersion="6" minRefreshableVersion="3" recordCount="15">
  <cacheSource type="worksheet">
    <worksheetSource ref="A2:L17" sheet="Basketball"/>
  </cacheSource>
  <cacheFields count="12">
    <cacheField name="Surname" numFmtId="0">
      <sharedItems/>
    </cacheField>
    <cacheField name="First Name" numFmtId="0">
      <sharedItems/>
    </cacheField>
    <cacheField name="Gender" numFmtId="0">
      <sharedItems/>
    </cacheField>
    <cacheField name="Parent's Name" numFmtId="0">
      <sharedItems/>
    </cacheField>
    <cacheField name="Date of Birth (dd/mm/yr)" numFmtId="14">
      <sharedItems containsSemiMixedTypes="0" containsNonDate="0" containsDate="1" containsString="0" minDate="2007-01-21T00:00:00" maxDate="2007-11-07T00:00:00"/>
    </cacheField>
    <cacheField name="Address" numFmtId="0">
      <sharedItems/>
    </cacheField>
    <cacheField name="Contact Information" numFmtId="0">
      <sharedItems/>
    </cacheField>
    <cacheField name="Uniform Size" numFmtId="0">
      <sharedItems/>
    </cacheField>
    <cacheField name="Sport" numFmtId="0">
      <sharedItems/>
    </cacheField>
    <cacheField name="Registration Cost" numFmtId="0">
      <sharedItems/>
    </cacheField>
    <cacheField name="Method Of Payment" numFmtId="0">
      <sharedItems/>
    </cacheField>
    <cacheField name="Grand Total(TT)" numFmtId="164">
      <sharedItems containsSemiMixedTypes="0" containsString="0" containsNumber="1" minValue="1440" maxValue="1839.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PC" refreshedDate="44427.577995601852" createdVersion="6" refreshedVersion="6" minRefreshableVersion="3" recordCount="13">
  <cacheSource type="worksheet">
    <worksheetSource ref="A2:L15" sheet="Netball"/>
  </cacheSource>
  <cacheFields count="12">
    <cacheField name="Surname" numFmtId="0">
      <sharedItems/>
    </cacheField>
    <cacheField name="First Name" numFmtId="0">
      <sharedItems/>
    </cacheField>
    <cacheField name="Gender" numFmtId="0">
      <sharedItems/>
    </cacheField>
    <cacheField name="Parent's Name" numFmtId="0">
      <sharedItems/>
    </cacheField>
    <cacheField name="Date of Birth (dd/mm/yr)" numFmtId="14">
      <sharedItems containsSemiMixedTypes="0" containsNonDate="0" containsDate="1" containsString="0" minDate="2007-01-09T00:00:00" maxDate="2007-12-08T00:00:00"/>
    </cacheField>
    <cacheField name="Address" numFmtId="0">
      <sharedItems/>
    </cacheField>
    <cacheField name="Contact Information" numFmtId="0">
      <sharedItems/>
    </cacheField>
    <cacheField name="Uniform Size" numFmtId="0">
      <sharedItems/>
    </cacheField>
    <cacheField name="Sport" numFmtId="0">
      <sharedItems/>
    </cacheField>
    <cacheField name="Registration Cost" numFmtId="0">
      <sharedItems/>
    </cacheField>
    <cacheField name="Method Of Payment" numFmtId="0">
      <sharedItems/>
    </cacheField>
    <cacheField name="Grand Total(TT)" numFmtId="164">
      <sharedItems containsSemiMixedTypes="0" containsString="0" containsNumber="1" containsInteger="1" minValue="1620" maxValue="207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PC" refreshedDate="44427.579041087964" createdVersion="6" refreshedVersion="6" minRefreshableVersion="3" recordCount="12">
  <cacheSource type="worksheet">
    <worksheetSource ref="A2:L14" sheet="Hockey"/>
  </cacheSource>
  <cacheFields count="12">
    <cacheField name="Surname" numFmtId="0">
      <sharedItems/>
    </cacheField>
    <cacheField name="First Name" numFmtId="0">
      <sharedItems/>
    </cacheField>
    <cacheField name="Gender" numFmtId="0">
      <sharedItems/>
    </cacheField>
    <cacheField name="Parent's Name" numFmtId="0">
      <sharedItems/>
    </cacheField>
    <cacheField name="Date of Birth (dd/mm/yr)" numFmtId="14">
      <sharedItems containsSemiMixedTypes="0" containsNonDate="0" containsDate="1" containsString="0" minDate="2007-01-25T00:00:00" maxDate="2007-12-01T00:00:00"/>
    </cacheField>
    <cacheField name="Address" numFmtId="0">
      <sharedItems/>
    </cacheField>
    <cacheField name="Contact Information" numFmtId="0">
      <sharedItems/>
    </cacheField>
    <cacheField name="Uniform Size" numFmtId="0">
      <sharedItems/>
    </cacheField>
    <cacheField name="Sport" numFmtId="0">
      <sharedItems/>
    </cacheField>
    <cacheField name="Registration Cost" numFmtId="0">
      <sharedItems/>
    </cacheField>
    <cacheField name="Method Of Payment" numFmtId="0">
      <sharedItems/>
    </cacheField>
    <cacheField name="Grand Total(TT)" numFmtId="164">
      <sharedItems containsSemiMixedTypes="0" containsString="0" containsNumber="1" containsInteger="1" minValue="1980" maxValue="25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PC" refreshedDate="44427.579557638892" createdVersion="6" refreshedVersion="6" minRefreshableVersion="3" recordCount="13">
  <cacheSource type="worksheet">
    <worksheetSource ref="A2:L15" sheet="Swimming"/>
  </cacheSource>
  <cacheFields count="12">
    <cacheField name="Surname" numFmtId="0">
      <sharedItems/>
    </cacheField>
    <cacheField name="First Name" numFmtId="0">
      <sharedItems/>
    </cacheField>
    <cacheField name="Gender" numFmtId="0">
      <sharedItems/>
    </cacheField>
    <cacheField name="Parent's Name" numFmtId="0">
      <sharedItems/>
    </cacheField>
    <cacheField name="Date of Birth (dd/mm/yr)" numFmtId="14">
      <sharedItems containsSemiMixedTypes="0" containsNonDate="0" containsDate="1" containsString="0" minDate="2007-01-13T00:00:00" maxDate="2007-12-21T00:00:00"/>
    </cacheField>
    <cacheField name="Address" numFmtId="0">
      <sharedItems/>
    </cacheField>
    <cacheField name="Contact Information" numFmtId="0">
      <sharedItems/>
    </cacheField>
    <cacheField name="Uniform Size" numFmtId="0">
      <sharedItems/>
    </cacheField>
    <cacheField name="Sport" numFmtId="0">
      <sharedItems/>
    </cacheField>
    <cacheField name="Registration Cost" numFmtId="0">
      <sharedItems/>
    </cacheField>
    <cacheField name="Method Of Payment" numFmtId="0">
      <sharedItems/>
    </cacheField>
    <cacheField name="Grand Total(TT)" numFmtId="164">
      <sharedItems containsSemiMixedTypes="0" containsString="0" containsNumber="1" minValue="2520" maxValue="3219.9999999999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s v="Best"/>
    <s v="Pauline "/>
    <s v="Female"/>
    <s v="Carl Best"/>
    <d v="2007-11-22T00:00:00"/>
    <s v="9776 Birchpond St."/>
    <s v="1868-745-0923"/>
    <s v="Small"/>
    <s v="Football"/>
    <s v="$120"/>
    <s v="Full"/>
    <x v="0"/>
  </r>
  <r>
    <s v="Alvarado"/>
    <s v="Elroy"/>
    <s v="Male"/>
    <s v="Michelle Alvarado"/>
    <d v="2007-09-08T00:00:00"/>
    <s v=" Stone &amp; Charles Sts., Port of Spain"/>
    <s v="1868-236-7908"/>
    <s v="Large"/>
    <s v="Football"/>
    <s v="$120"/>
    <s v="Full"/>
    <x v="0"/>
  </r>
  <r>
    <s v="Franklin"/>
    <s v="Aurora"/>
    <s v="Female"/>
    <s v="Kyle Aurora"/>
    <d v="2007-08-24T00:00:00"/>
    <s v="19 Mucurapo Road"/>
    <s v="1868-345-9453"/>
    <s v="Large"/>
    <s v="Football"/>
    <s v="$120"/>
    <s v="Installment"/>
    <x v="1"/>
  </r>
  <r>
    <s v="Maharaj"/>
    <s v="Kaitlyn"/>
    <s v="Female"/>
    <s v="Jeremy Maharaj"/>
    <d v="2007-06-25T00:00:00"/>
    <s v="Constance Street"/>
    <s v="1868-224-8843"/>
    <s v="Medium"/>
    <s v="Football"/>
    <s v="$120"/>
    <s v="Installment"/>
    <x v="1"/>
  </r>
  <r>
    <s v="Moses"/>
    <s v="Maurice"/>
    <s v="Female"/>
    <s v="Andrea Moses"/>
    <d v="2007-09-22T00:00:00"/>
    <s v="102 Nolan Street"/>
    <s v="1868-456-3722"/>
    <s v="Small"/>
    <s v="Football"/>
    <s v="$120"/>
    <s v="Full"/>
    <x v="0"/>
  </r>
  <r>
    <s v="Jamieson"/>
    <s v="Richard"/>
    <s v="Male"/>
    <s v="Daisy Jamieson"/>
    <d v="2007-03-22T00:00:00"/>
    <s v="Milford Road, Milford"/>
    <s v="1868-745-9021"/>
    <s v="Medium"/>
    <s v="Football"/>
    <s v="$120"/>
    <s v="Full"/>
    <x v="0"/>
  </r>
  <r>
    <s v="Jamieson"/>
    <s v="Mark"/>
    <s v="Male"/>
    <s v="Daisy Jamieson"/>
    <d v="2007-09-17T00:00:00"/>
    <s v="Milford Road, Milford"/>
    <s v="1868-745-9021"/>
    <s v="Medium"/>
    <s v="Football"/>
    <s v="$120"/>
    <s v="Full"/>
    <x v="0"/>
  </r>
  <r>
    <s v="Ramousar"/>
    <s v="Nathan"/>
    <s v="Male"/>
    <s v="Cary Ramousar"/>
    <d v="2007-08-31T00:00:00"/>
    <s v="34 Carrington Street"/>
    <s v="1868-223-0012"/>
    <s v="Small"/>
    <s v="Football"/>
    <s v="$120"/>
    <s v="Installment"/>
    <x v="1"/>
  </r>
  <r>
    <s v="Joseph"/>
    <s v="Peter"/>
    <s v="Male"/>
    <s v="Michael Joseph"/>
    <d v="2007-12-14T00:00:00"/>
    <s v="135 John Street"/>
    <s v="1868-432-4567"/>
    <s v="Large"/>
    <s v="Football"/>
    <s v="$120"/>
    <s v="Installment"/>
    <x v="1"/>
  </r>
  <r>
    <s v="Rosa"/>
    <s v="Susan"/>
    <s v="Female"/>
    <s v="Natasha Rosa"/>
    <d v="2007-08-26T00:00:00"/>
    <s v="22 Penco Street"/>
    <s v="1868-275-9743"/>
    <s v="Medium"/>
    <s v="Football"/>
    <s v="$120"/>
    <s v="Full"/>
    <x v="0"/>
  </r>
  <r>
    <s v="Sharma"/>
    <s v="Andrea"/>
    <s v="Female"/>
    <s v="Alex Sharma"/>
    <d v="2007-08-24T00:00:00"/>
    <s v="#49 Thompson Street"/>
    <s v="1868-349-9732"/>
    <s v="Samll"/>
    <s v="Football"/>
    <s v="$120"/>
    <s v="Installment"/>
    <x v="1"/>
  </r>
  <r>
    <s v="Davinson"/>
    <s v="Stuart"/>
    <s v="Male"/>
    <s v="Vanessa Davinson"/>
    <d v="2007-03-13T00:00:00"/>
    <s v="Fourth Street, P.O.Box 4300"/>
    <s v="1868-754-0372"/>
    <s v="Medium"/>
    <s v="Football"/>
    <s v="$120"/>
    <s v="Full"/>
    <x v="0"/>
  </r>
  <r>
    <s v="Leslie"/>
    <s v="Kimberly"/>
    <s v="Female"/>
    <s v="Marie Leslie"/>
    <d v="2007-06-01T00:00:00"/>
    <s v="Edinburgh Village, P.O.Box 33400"/>
    <s v="1868-632-6732"/>
    <s v="Medium"/>
    <s v="Football"/>
    <s v="$120"/>
    <s v="Full"/>
    <x v="0"/>
  </r>
  <r>
    <s v="Andrews"/>
    <s v="Frank"/>
    <s v="Male"/>
    <s v="Kelly Andrews"/>
    <d v="2007-08-25T00:00:00"/>
    <s v="Lord's Street,Port of Spain"/>
    <s v="1868-783-4732"/>
    <s v="Small"/>
    <s v="Football"/>
    <s v="$120"/>
    <s v="Installment"/>
    <x v="1"/>
  </r>
  <r>
    <s v="Serelo"/>
    <s v="David"/>
    <s v="Male"/>
    <s v="Kevin Serelo"/>
    <d v="2007-12-16T00:00:00"/>
    <s v="  15 Woodpecker Lane, P.O.Box 23700"/>
    <s v="1868-321-7832"/>
    <s v="Large"/>
    <s v="Football"/>
    <s v="$120"/>
    <s v="Full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5">
  <r>
    <s v="Nord"/>
    <s v="Christ"/>
    <s v="Male"/>
    <s v="Eliana Nord"/>
    <d v="2007-10-29T00:00:00"/>
    <s v="63 Eastern Main Road"/>
    <s v="1868-547-3422"/>
    <s v="Small"/>
    <s v="Basketball"/>
    <s v="$200"/>
    <s v="Full"/>
    <n v="1440"/>
  </r>
  <r>
    <s v="Wilson"/>
    <s v="Nina"/>
    <s v="Female"/>
    <s v="Carolyn Wilson"/>
    <d v="2007-09-22T00:00:00"/>
    <s v=" Store Bay Road, Store Bay"/>
    <s v="1868-432-1738"/>
    <s v="Medium"/>
    <s v="Basketball"/>
    <s v="$200"/>
    <s v="Full"/>
    <n v="1839.9999999999998"/>
  </r>
  <r>
    <s v="Mohammed"/>
    <s v="Varen"/>
    <s v="Male"/>
    <s v="Siraj Mohammed"/>
    <d v="2007-07-31T00:00:00"/>
    <s v="7 Benares Street"/>
    <s v="1868-213-4832"/>
    <s v="Medium"/>
    <s v="Basketball"/>
    <s v="$200"/>
    <s v="Installment"/>
    <n v="1839.9999999999998"/>
  </r>
  <r>
    <s v="Stuart"/>
    <s v="Aslan"/>
    <s v="Male"/>
    <s v="Desha Stuart"/>
    <d v="2007-09-15T00:00:00"/>
    <s v="Breeze Hall Mall"/>
    <s v="1868-342-2183"/>
    <s v="Small"/>
    <s v="Basketball"/>
    <s v="$200"/>
    <s v="Installment"/>
    <n v="1440"/>
  </r>
  <r>
    <s v="Charles"/>
    <s v="Weasley"/>
    <s v="Male"/>
    <s v="Matthew Charles"/>
    <d v="2007-11-06T00:00:00"/>
    <s v="St.Mary's Village"/>
    <s v="1868-453-0983"/>
    <s v="Large"/>
    <s v="Basketball"/>
    <s v="$200"/>
    <s v="Full"/>
    <n v="1839.9999999999998"/>
  </r>
  <r>
    <s v="Pierra"/>
    <s v="Naomi"/>
    <s v="Female"/>
    <s v="Natalie Pierra"/>
    <d v="2007-05-19T00:00:00"/>
    <s v=" Main Street"/>
    <s v="1868-463-8291"/>
    <s v="Small"/>
    <s v="Basketball"/>
    <s v="$200"/>
    <s v="Installment"/>
    <n v="1839.9999999999998"/>
  </r>
  <r>
    <s v="Ali"/>
    <s v="Adrian"/>
    <s v="Male"/>
    <s v="Ishan Ali"/>
    <d v="2007-07-12T00:00:00"/>
    <s v="1-5 Princess Margaret Street, P.O.Box 13800"/>
    <s v="1868-928-2321"/>
    <s v="Medium"/>
    <s v="Basketball"/>
    <s v="$200"/>
    <s v="Installment"/>
    <n v="1440"/>
  </r>
  <r>
    <s v="Lewis"/>
    <s v="Maria"/>
    <s v="Female"/>
    <s v="Mia Lewis"/>
    <d v="2007-05-04T00:00:00"/>
    <s v="15 Zimbabwe Lane"/>
    <s v="1868-736-3982"/>
    <s v="Small"/>
    <s v="Basketball"/>
    <s v="$200"/>
    <s v="Full"/>
    <n v="1440"/>
  </r>
  <r>
    <s v="Seepersaud"/>
    <s v="Darell"/>
    <s v="Male"/>
    <s v="Aisha Seepersaud"/>
    <d v="2007-09-16T00:00:00"/>
    <s v="Bacolet Street"/>
    <s v="1868-437-2928"/>
    <s v="Large"/>
    <s v="Basketball"/>
    <s v="$200"/>
    <s v="Full"/>
    <n v="1440"/>
  </r>
  <r>
    <s v="James"/>
    <s v="Susan"/>
    <s v="Female"/>
    <s v="Dale James"/>
    <d v="2007-04-26T00:00:00"/>
    <s v="5a Lazare Street,Chaguanas,Trinidad and Tobago"/>
    <s v="1868-463-2881"/>
    <s v="Large"/>
    <s v="Basketball"/>
    <s v="$200"/>
    <s v="Full"/>
    <n v="1839.9999999999998"/>
  </r>
  <r>
    <s v="Sylvester"/>
    <s v="Daren"/>
    <s v="Male"/>
    <s v="Kimberly Sylvester"/>
    <d v="2007-04-25T00:00:00"/>
    <s v="130 Seventh Street Barataria ,Chaguanas,Trinidad and Tobago"/>
    <s v="1868-477-2372"/>
    <s v="Medium"/>
    <s v="Basketball"/>
    <s v="$200"/>
    <s v="Installment"/>
    <n v="1440"/>
  </r>
  <r>
    <s v="Paul"/>
    <s v="Jake"/>
    <s v="Male"/>
    <s v="Logan Paul"/>
    <d v="2007-09-22T00:00:00"/>
    <s v="Eastern Main Road,Chaguanas,Trinidad and Tobago"/>
    <s v="1868-237-3921"/>
    <s v="Small"/>
    <s v="Basketball"/>
    <s v="$200"/>
    <s v="Full"/>
    <n v="1440"/>
  </r>
  <r>
    <s v="Chan"/>
    <s v="Kevin"/>
    <s v="Male"/>
    <s v="Hitashi Chan"/>
    <d v="2007-09-11T00:00:00"/>
    <s v="Lp# 2 Nicholas St Morne Coco Rd ,Arima,Trinidad and Tobago"/>
    <s v="1868-388-3728"/>
    <s v="Medium"/>
    <s v="Basketball"/>
    <s v="$200"/>
    <s v="Full"/>
    <n v="1839.9999999999998"/>
  </r>
  <r>
    <s v="Nepaul"/>
    <s v="Shilah"/>
    <s v="Female"/>
    <s v="Hawi Nepaul"/>
    <d v="2007-01-21T00:00:00"/>
    <s v="23 Prime Road St., Chaguanas"/>
    <s v="1868-309-9392"/>
    <s v="Small"/>
    <s v="Basketball"/>
    <s v="$200"/>
    <s v="Installment"/>
    <n v="1440"/>
  </r>
  <r>
    <s v="Apple"/>
    <s v="Joey"/>
    <s v="Male"/>
    <s v="Nia Apple"/>
    <d v="2007-06-01T00:00:00"/>
    <s v="37 Tragarete Road,Arima,Trinidad and Tobago"/>
    <s v="1868-381-3883"/>
    <s v="Medium"/>
    <s v="Basketball"/>
    <s v="$200"/>
    <s v="Full"/>
    <n v="144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3">
  <r>
    <s v="Putlin"/>
    <s v="Sarah"/>
    <s v="Female"/>
    <s v="Ameera Putlin"/>
    <d v="2007-08-08T00:00:00"/>
    <s v="130 Seventh Street Barataria ,Arima,Trinidad and Tobago"/>
    <s v="1868-283-3821"/>
    <s v="Small"/>
    <s v="Netball"/>
    <s v="$225"/>
    <s v="Full"/>
    <n v="1620"/>
  </r>
  <r>
    <s v="James"/>
    <s v="Cassidy"/>
    <s v="Female"/>
    <s v="Andrey James"/>
    <d v="2007-02-08T00:00:00"/>
    <s v="3A Silvermill San Juan,Diego Martin,Trinidad and Tobago"/>
    <s v="1868-462-7238"/>
    <s v="Large"/>
    <s v="Netball"/>
    <s v="$225"/>
    <s v="Installment"/>
    <n v="2070"/>
  </r>
  <r>
    <s v="Armstrong"/>
    <s v="Clyde"/>
    <s v="Male"/>
    <s v="Zoe Armstrong"/>
    <d v="2007-02-11T00:00:00"/>
    <s v="16 Real Street San Juan,Diego Martin,Trinidad and Tobago"/>
    <s v="1868-389-3742"/>
    <s v="Medium"/>
    <s v="Netball"/>
    <s v="$225"/>
    <s v="Full"/>
    <n v="1620"/>
  </r>
  <r>
    <s v="Okaniku"/>
    <s v="Sasa"/>
    <s v="Female"/>
    <s v="Leroy Okaniku"/>
    <d v="2007-04-19T00:00:00"/>
    <s v=" 70 Woodford St,Diego Martin,Trinidad and Tobago"/>
    <s v="1868-244-4839"/>
    <s v="Samll"/>
    <s v="Netball"/>
    <s v="$225"/>
    <s v="Full"/>
    <n v="1620"/>
  </r>
  <r>
    <s v="Anderson"/>
    <s v="Julie"/>
    <s v="Female"/>
    <s v="Zane Anderson"/>
    <d v="2007-12-07T00:00:00"/>
    <s v="Bhagoutie Trace San Juan,Diego Martin,Trinidad and Tobago"/>
    <s v="1868-472-3828"/>
    <s v="Medium"/>
    <s v="Netball"/>
    <s v="$225"/>
    <s v="Installment"/>
    <n v="2070"/>
  </r>
  <r>
    <s v="Ramlogan"/>
    <s v="Arun"/>
    <s v="Male"/>
    <s v="Bridgette Ramlogan"/>
    <d v="2007-10-29T00:00:00"/>
    <s v="10-16 Lady Hailes Avenue ,Marabella,Trinidad and Tobago"/>
    <s v="1868-348-3881"/>
    <s v="Medium"/>
    <s v="Netball"/>
    <s v="$225"/>
    <s v="Installment"/>
    <n v="2070"/>
  </r>
  <r>
    <s v="Lisa"/>
    <s v="Alejandro"/>
    <s v="Male"/>
    <s v="Ferdinand Lisa"/>
    <d v="2007-07-10T00:00:00"/>
    <s v=" 74 Ana St. Woodbrook ,Marabella,Trinidad and Tobago"/>
    <s v="1868-489-0482"/>
    <s v="Large"/>
    <s v="Netball"/>
    <s v="$225"/>
    <s v="Installment"/>
    <n v="2070"/>
  </r>
  <r>
    <s v="Mathews"/>
    <s v="Werly"/>
    <s v="Female"/>
    <s v="Shaun Matthews"/>
    <d v="2007-10-25T00:00:00"/>
    <s v="19 Papourie Road ,Marabella,Trinidad and Tobago"/>
    <s v="1868-841-8894"/>
    <s v="Small"/>
    <s v="Netball"/>
    <s v="$225"/>
    <s v="Full"/>
    <n v="1620"/>
  </r>
  <r>
    <s v="Ross"/>
    <s v="Harvey"/>
    <s v="Male"/>
    <s v="Victoria Ross"/>
    <d v="2007-04-08T00:00:00"/>
    <s v="Western Main Road,Port of Spain,Trinidad and Tobago"/>
    <s v="1868-489-4922"/>
    <s v="Medium"/>
    <s v="Netball"/>
    <s v="$225"/>
    <s v="Installment"/>
    <n v="2070"/>
  </r>
  <r>
    <s v="Fokina"/>
    <s v="Miguel"/>
    <s v="Male"/>
    <s v="Ronaldo Fokina"/>
    <d v="2007-08-30T00:00:00"/>
    <s v="Camden Road. Camden House ,Port of Spain,Trinidad and Tobago"/>
    <s v="1868-444-4843"/>
    <s v="Medium"/>
    <s v="Netball"/>
    <s v="$225"/>
    <s v="Full"/>
    <n v="1620"/>
  </r>
  <r>
    <s v="Morilla"/>
    <s v="Christien"/>
    <s v="Female"/>
    <s v="Jon Morilla"/>
    <d v="2007-09-17T00:00:00"/>
    <s v="13 Buller St Woodbrook,Port of Spain,Trinidad and Tobago"/>
    <s v="1868-756-3982"/>
    <s v="Small"/>
    <s v="Netball"/>
    <s v="$225"/>
    <s v="Full"/>
    <n v="1620"/>
  </r>
  <r>
    <s v="Gum"/>
    <s v="Rice"/>
    <s v="Male"/>
    <s v="Kim Rice"/>
    <d v="2007-01-09T00:00:00"/>
    <s v="17 Levern St. Diego Martin, Port of Spain"/>
    <s v="1868-938-3722"/>
    <s v="Large"/>
    <s v="Netball"/>
    <s v="$225"/>
    <s v="Full"/>
    <n v="1620"/>
  </r>
  <r>
    <s v="Sealy"/>
    <s v="Larry"/>
    <s v="Male"/>
    <s v="Drew Sealy"/>
    <d v="2007-07-04T00:00:00"/>
    <s v="Cocorite,Port of Spain,Trinidad and Tobago"/>
    <s v="1868-437-1928"/>
    <s v="Large"/>
    <s v="Netball"/>
    <s v="$225"/>
    <s v="Full"/>
    <n v="162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2">
  <r>
    <s v="Tomoko"/>
    <s v="Nadine"/>
    <s v="Female"/>
    <s v="Carrol Tomoko"/>
    <d v="2007-04-26T00:00:00"/>
    <s v="School Street ,Point Fortin,Trinidad and Tobago"/>
    <s v="1868-474-2372"/>
    <s v="Medium"/>
    <s v="Hockey"/>
    <s v="$275"/>
    <s v="Installment"/>
    <n v="2530"/>
  </r>
  <r>
    <s v="Alex"/>
    <s v="Graig"/>
    <s v="Male"/>
    <s v="Mario Alex"/>
    <d v="2007-04-20T00:00:00"/>
    <s v="37 Tragarete Road,Point Fortin,Trinidad and Tobago"/>
    <s v="1868-237-3926"/>
    <s v="Small"/>
    <s v="Hockey"/>
    <s v="$275"/>
    <s v="Installment"/>
    <n v="2530"/>
  </r>
  <r>
    <s v="Zoe"/>
    <s v="Isaias"/>
    <s v="Male"/>
    <s v="Shirlee Zoe"/>
    <d v="2007-06-01T00:00:00"/>
    <s v="Eastern Main Road,San Fernando,Trinidad and Tobago"/>
    <s v="1868-382-3883"/>
    <s v="Large"/>
    <s v="Hockey"/>
    <s v="$275"/>
    <s v="Installment"/>
    <n v="1980"/>
  </r>
  <r>
    <s v="Wilhemina"/>
    <s v="Elna"/>
    <s v="Female"/>
    <s v="Rod Wilhemina"/>
    <d v="2007-04-07T00:00:00"/>
    <s v="Union Hall ,San Fernando,Trinidad and Tobago"/>
    <s v="1868-283-3832"/>
    <s v="Medium"/>
    <s v="Hockey"/>
    <s v="$275"/>
    <s v="Full"/>
    <n v="2530"/>
  </r>
  <r>
    <s v="Floretta"/>
    <s v="Louisa"/>
    <s v="Female"/>
    <s v="Dawna Floretta"/>
    <d v="2007-02-11T00:00:00"/>
    <s v="64 Eligon Ave ,Tunapuna,Trinidad and Tobago"/>
    <s v="1868-462-7231"/>
    <s v="Small"/>
    <s v="Hockey"/>
    <s v="$275"/>
    <s v="Installment"/>
    <n v="2530"/>
  </r>
  <r>
    <s v="Maribeth"/>
    <s v="Ona"/>
    <s v="Male"/>
    <s v="Inger Maribeth"/>
    <d v="2007-04-02T00:00:00"/>
    <s v="Fernandes Industrial Estate ,Tunapuna,Trinidad and Tobago"/>
    <s v="1868-383-3742"/>
    <s v="Small"/>
    <s v="Hockey"/>
    <s v="$275"/>
    <s v="Installment"/>
    <n v="1980"/>
  </r>
  <r>
    <s v="Shalonda"/>
    <s v="Lisabeth"/>
    <s v="Female"/>
    <s v="Shawanda Shalonda"/>
    <d v="2007-07-15T00:00:00"/>
    <s v="Beckles Lane and Eastern Main Road ,Tunapuna,Trinidad and Tobago"/>
    <s v="1868-244-4832"/>
    <s v="Medium"/>
    <s v="Hockey"/>
    <s v="$275"/>
    <s v="Full"/>
    <n v="2530"/>
  </r>
  <r>
    <s v="Burt"/>
    <s v="Amada"/>
    <s v="Female"/>
    <s v="Sofia Burt"/>
    <d v="2007-11-03T00:00:00"/>
    <s v="Sam Boucaud Rd. Upr S/Cruz ,Tunapuna,Trinidad and Tobago"/>
    <s v="1868-472-6828"/>
    <s v="Small"/>
    <s v="Hockey"/>
    <s v="$275"/>
    <s v="Installment"/>
    <n v="2530"/>
  </r>
  <r>
    <s v="Miyoko"/>
    <s v="Kizzie"/>
    <s v="Female"/>
    <s v="Saul Miyoko"/>
    <d v="2007-11-30T00:00:00"/>
    <s v="Fleming St. Longdenville ,Port of Spain,Trinidad and Tobago"/>
    <s v="1868-348-3831"/>
    <s v="Medium"/>
    <s v="Hockey"/>
    <s v="$275"/>
    <s v="Installment"/>
    <n v="1980"/>
  </r>
  <r>
    <s v="Le"/>
    <s v="Elmira"/>
    <s v="Female"/>
    <s v="Mariel Le"/>
    <d v="2007-01-25T00:00:00"/>
    <s v=" 6a Queen,Port of Spain,Trinidad and Tobago"/>
    <s v="1868-419-0482"/>
    <s v="Small"/>
    <s v="Hockey"/>
    <s v="$275"/>
    <s v="Full"/>
    <n v="1980"/>
  </r>
  <r>
    <s v="William"/>
    <s v="Stanford"/>
    <s v="Male"/>
    <s v="Echo Williams"/>
    <d v="2007-09-21T00:00:00"/>
    <s v="12 Ragbir Street ,Port of Spain,Trinidad and Tobago"/>
    <s v="1868-841-8494"/>
    <s v="Large"/>
    <s v="Hockey"/>
    <s v="$275"/>
    <s v="Full"/>
    <n v="1980"/>
  </r>
  <r>
    <s v="Lori"/>
    <s v="Twila"/>
    <s v="Female"/>
    <s v="Robert Lori"/>
    <d v="2007-01-27T00:00:00"/>
    <s v="Lp# 2 Nicholas St Morne Coco Rd ,Port of Spain,Trinidad and Tobago"/>
    <s v="1868-489-4622"/>
    <s v="Large"/>
    <s v="Hockey"/>
    <s v="$275"/>
    <s v="Full"/>
    <n v="198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13">
  <r>
    <s v="Rena"/>
    <s v="Hilda"/>
    <s v="Male"/>
    <s v="Krystyna Rena"/>
    <d v="2007-11-17T00:00:00"/>
    <s v="St Croix Road,Port of Spain,Trinidad and Tobago"/>
    <s v="1868-444-4841"/>
    <s v="Small"/>
    <s v="Swimming"/>
    <s v="$350"/>
    <s v="Installment"/>
    <n v="3219.9999999999995"/>
  </r>
  <r>
    <s v="Aurora"/>
    <s v="Catherine"/>
    <s v="Female"/>
    <s v="Caroline Aurora"/>
    <d v="2007-12-08T00:00:00"/>
    <s v="St. John,Port of Spain,Trinidad and Tobago"/>
    <s v="1868-745-0926"/>
    <s v="Medium"/>
    <s v="Swimming"/>
    <s v="$350"/>
    <s v="Installment"/>
    <n v="3219.9999999999995"/>
  </r>
  <r>
    <s v="Twyla"/>
    <s v="Hosea"/>
    <s v="Female"/>
    <s v="Charita Twyla"/>
    <d v="2007-10-05T00:00:00"/>
    <s v="Clare Street ,Port of Spain,Trinidad and Tobago"/>
    <s v="1868-345-9468"/>
    <s v="Small"/>
    <s v="Swimming"/>
    <s v="$350"/>
    <s v="Installment"/>
    <n v="3219.9999999999995"/>
  </r>
  <r>
    <s v="Angelia"/>
    <s v="Marty"/>
    <s v="Male"/>
    <s v="April Angelai"/>
    <d v="2007-04-30T00:00:00"/>
    <s v="Corner Richmond. London Street,Tunapuna,Trinidad and Tobago"/>
    <s v="1868-224-8443"/>
    <s v="Large"/>
    <s v="Swimming"/>
    <s v="$350"/>
    <s v="Full"/>
    <n v="2520"/>
  </r>
  <r>
    <s v="Fernanda"/>
    <s v="Elfreda"/>
    <s v="Female"/>
    <s v="Trinity Fernanda"/>
    <d v="2007-12-20T00:00:00"/>
    <s v="22 Eleanor Street,Tunapuna,Trinidad and Tobago"/>
    <s v="1868-456-3729"/>
    <s v="Medium"/>
    <s v="Swimming"/>
    <s v="$350"/>
    <s v="Full"/>
    <n v="2520"/>
  </r>
  <r>
    <s v="Christel"/>
    <s v="Mathilde"/>
    <s v="Male"/>
    <s v="Gemini Christel"/>
    <d v="2007-03-01T00:00:00"/>
    <s v="Alexander St.,Tunapuna,Trinidad and Tobago"/>
    <s v="1868-745-9020"/>
    <s v="Small"/>
    <s v="Swimming"/>
    <s v="$350"/>
    <s v="Installment"/>
    <n v="3219.9999999999995"/>
  </r>
  <r>
    <s v="Brittny"/>
    <s v="Vi"/>
    <s v="Male"/>
    <s v="Avery Brittny"/>
    <d v="2007-06-02T00:00:00"/>
    <s v="109d Coffee Street ,Tunapuna,Trinidad and Tobago"/>
    <s v="1868-755-9021"/>
    <s v="Medium"/>
    <s v="Swimming"/>
    <s v="$350"/>
    <s v="Installment"/>
    <n v="3219.9999999999995"/>
  </r>
  <r>
    <s v="Darnell"/>
    <s v="Patrick"/>
    <s v="Male"/>
    <s v="Elias Patrick"/>
    <d v="2007-09-19T00:00:00"/>
    <s v=" 7A O'Meara Industrial Estate,Tunapuna,Trinidad and Tobago"/>
    <s v="1868-223-0013"/>
    <s v="Large"/>
    <s v="Swimming"/>
    <s v="$350"/>
    <s v="Installment"/>
    <n v="3219.9999999999995"/>
  </r>
  <r>
    <s v="William"/>
    <s v="Heather"/>
    <s v="Female"/>
    <s v="Shea William"/>
    <d v="2007-06-18T00:00:00"/>
    <s v="Mc Bean,Arouca,Trinidad and Tobago"/>
    <s v="1868-732-4567"/>
    <s v="Large"/>
    <s v="Swimming"/>
    <s v="$350"/>
    <s v="Full"/>
    <n v="2520"/>
  </r>
  <r>
    <s v="Lovetta"/>
    <s v="Blythe"/>
    <s v="Male"/>
    <s v="Connor Lovetta"/>
    <d v="2007-06-21T00:00:00"/>
    <s v="Shoppes of Maraval. Maraval,Arouca,Trinidad and Tobago"/>
    <s v="1868-732-4568"/>
    <s v="Small"/>
    <s v="Swimming"/>
    <s v="$350"/>
    <s v="Installment"/>
    <n v="3219.9999999999995"/>
  </r>
  <r>
    <s v="Dorothy"/>
    <s v="Caitlin"/>
    <s v="Female"/>
    <s v="Becky Dorothy"/>
    <d v="2007-03-15T00:00:00"/>
    <s v="Gaston Street ,Arouca,Trinidad and Tobago"/>
    <s v="1868-732-4569"/>
    <s v="Small"/>
    <s v="Swimming"/>
    <s v="$350"/>
    <s v="Full"/>
    <n v="2520"/>
  </r>
  <r>
    <s v="Roxana"/>
    <s v="Margarito"/>
    <s v="Female"/>
    <s v="Alana Roxana"/>
    <d v="2007-01-13T00:00:00"/>
    <s v="100 Wrightson Rd. Port of Spain ,Arima,Trinidad and Tobago"/>
    <s v="1868-732-4570"/>
    <s v="Medium"/>
    <s v="Swimming"/>
    <s v="$350"/>
    <s v="Installment"/>
    <n v="3219.9999999999995"/>
  </r>
  <r>
    <s v="Kaycee"/>
    <s v="Stewart"/>
    <s v="Male"/>
    <s v="Kassidy Kaycee"/>
    <d v="2007-01-20T00:00:00"/>
    <s v=" 3 Penitence St.,Arima,Trinidad and Tobago"/>
    <s v="1868-732-4571"/>
    <s v="Large"/>
    <s v="Swimming"/>
    <s v="$350"/>
    <s v="Full"/>
    <n v="25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3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9:A10" firstHeaderRow="1" firstDataRow="1" firstDataCol="0"/>
  <pivotFields count="12"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numFmtId="164" showAll="0"/>
  </pivotFields>
  <rowItems count="1">
    <i/>
  </rowItems>
  <colItems count="1">
    <i/>
  </colItems>
  <dataFields count="1">
    <dataField name="Netball Sum of Grand Total(TT)" fld="11" baseField="0" baseItem="10244854" numFmtId="164"/>
  </dataFields>
  <formats count="8">
    <format dxfId="7">
      <pivotArea type="all" dataOnly="0" outline="0" fieldPosition="0"/>
    </format>
    <format dxfId="6">
      <pivotArea outline="0" collapsedLevelsAreSubtotals="1" fieldPosition="0"/>
    </format>
    <format dxfId="5">
      <pivotArea dataOnly="0" labelOnly="1" outline="0" axis="axisValues" fieldPosition="0"/>
    </format>
    <format dxfId="4">
      <pivotArea dataOnly="0" labelOnly="1" outline="0" axis="axisValues" fieldPosition="0"/>
    </format>
    <format dxfId="3">
      <pivotArea type="all" dataOnly="0" outline="0" fieldPosition="0"/>
    </format>
    <format dxfId="2">
      <pivotArea outline="0" collapsedLevelsAreSubtotals="1" fieldPosition="0"/>
    </format>
    <format dxfId="1">
      <pivotArea dataOnly="0" labelOnly="1" outline="0" axis="axisValues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6:A7" firstHeaderRow="1" firstDataRow="1" firstDataCol="0"/>
  <pivotFields count="12"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numFmtId="164" showAll="0"/>
  </pivotFields>
  <rowItems count="1">
    <i/>
  </rowItems>
  <colItems count="1">
    <i/>
  </colItems>
  <dataFields count="1">
    <dataField name="Basketball Sum of Grand Total(TT)" fld="11" baseField="0" baseItem="10244854" numFmtId="164"/>
  </dataFields>
  <formats count="8">
    <format dxfId="15">
      <pivotArea type="all" dataOnly="0" outline="0" fieldPosition="0"/>
    </format>
    <format dxfId="14">
      <pivotArea outline="0" collapsedLevelsAreSubtotals="1" fieldPosition="0"/>
    </format>
    <format dxfId="13">
      <pivotArea dataOnly="0" labelOnly="1" outline="0" axis="axisValues" fieldPosition="0"/>
    </format>
    <format dxfId="12">
      <pivotArea dataOnly="0" labelOnly="1" outline="0" axis="axisValues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dataOnly="0" labelOnly="1" outline="0" axis="axisValues" fieldPosition="0"/>
    </format>
    <format dxfId="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A4" firstHeaderRow="1" firstDataRow="1" firstDataCol="0"/>
  <pivotFields count="12"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numFmtId="164" showAll="0"/>
  </pivotFields>
  <rowItems count="1">
    <i/>
  </rowItems>
  <colItems count="1">
    <i/>
  </colItems>
  <dataFields count="1">
    <dataField name="Football Sum of Grand Total(TT)" fld="11" baseField="0" baseItem="10244854" numFmtId="164"/>
  </dataFields>
  <formats count="8">
    <format dxfId="23">
      <pivotArea type="all" dataOnly="0" outline="0" fieldPosition="0"/>
    </format>
    <format dxfId="22">
      <pivotArea outline="0" collapsedLevelsAreSubtotals="1" fieldPosition="0"/>
    </format>
    <format dxfId="21">
      <pivotArea dataOnly="0" labelOnly="1" outline="0" axis="axisValues" fieldPosition="0"/>
    </format>
    <format dxfId="20">
      <pivotArea dataOnly="0" labelOnly="1" outline="0" axis="axisValues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axis="axisValues" fieldPosition="0"/>
    </format>
    <format dxfId="1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5:A16" firstHeaderRow="1" firstDataRow="1" firstDataCol="0"/>
  <pivotFields count="12"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numFmtId="164" showAll="0"/>
  </pivotFields>
  <rowItems count="1">
    <i/>
  </rowItems>
  <colItems count="1">
    <i/>
  </colItems>
  <dataFields count="1">
    <dataField name="Swimming Sum of Grand Total(TT)" fld="11" baseField="0" baseItem="10244854" numFmtId="164"/>
  </dataFields>
  <formats count="8">
    <format dxfId="31">
      <pivotArea type="all" dataOnly="0" outline="0" fieldPosition="0"/>
    </format>
    <format dxfId="30">
      <pivotArea outline="0" collapsedLevelsAreSubtotals="1" fieldPosition="0"/>
    </format>
    <format dxfId="29">
      <pivotArea dataOnly="0" labelOnly="1" outline="0" axis="axisValues" fieldPosition="0"/>
    </format>
    <format dxfId="28">
      <pivotArea dataOnly="0" labelOnly="1" outline="0" axis="axisValues" fieldPosition="0"/>
    </format>
    <format dxfId="27">
      <pivotArea type="all" dataOnly="0" outline="0" fieldPosition="0"/>
    </format>
    <format dxfId="26">
      <pivotArea outline="0" collapsedLevelsAreSubtotals="1" fieldPosition="0"/>
    </format>
    <format dxfId="25">
      <pivotArea dataOnly="0" labelOnly="1" outline="0" axis="axisValues" fieldPosition="0"/>
    </format>
    <format dxfId="2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4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2:A13" firstHeaderRow="1" firstDataRow="1" firstDataCol="0"/>
  <pivotFields count="12"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numFmtId="164" showAll="0"/>
  </pivotFields>
  <rowItems count="1">
    <i/>
  </rowItems>
  <colItems count="1">
    <i/>
  </colItems>
  <dataFields count="1">
    <dataField name="Hockey Sum of Grand Total(TT)" fld="11" baseField="0" baseItem="10244854" numFmtId="164"/>
  </dataFields>
  <formats count="8">
    <format dxfId="39">
      <pivotArea type="all" dataOnly="0" outline="0" fieldPosition="0"/>
    </format>
    <format dxfId="38">
      <pivotArea outline="0" collapsedLevelsAreSubtotals="1" fieldPosition="0"/>
    </format>
    <format dxfId="37">
      <pivotArea dataOnly="0" labelOnly="1" outline="0" axis="axisValues" fieldPosition="0"/>
    </format>
    <format dxfId="36">
      <pivotArea dataOnly="0" labelOnly="1" outline="0" axis="axisValues" fieldPosition="0"/>
    </format>
    <format dxfId="35">
      <pivotArea type="all" dataOnly="0" outline="0" fieldPosition="0"/>
    </format>
    <format dxfId="34">
      <pivotArea outline="0" collapsedLevelsAreSubtotals="1" fieldPosition="0"/>
    </format>
    <format dxfId="33">
      <pivotArea dataOnly="0" labelOnly="1" outline="0" axis="axisValues" fieldPosition="0"/>
    </format>
    <format dxfId="3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opLeftCell="D1" zoomScaleNormal="100" workbookViewId="0">
      <selection activeCell="E4" sqref="E4"/>
    </sheetView>
  </sheetViews>
  <sheetFormatPr defaultRowHeight="14.4" x14ac:dyDescent="0.3"/>
  <cols>
    <col min="1" max="1" width="17.5546875" customWidth="1"/>
    <col min="2" max="2" width="18.109375" customWidth="1"/>
    <col min="3" max="3" width="7.88671875" bestFit="1" customWidth="1"/>
    <col min="4" max="4" width="25" customWidth="1"/>
    <col min="5" max="5" width="32.5546875" customWidth="1"/>
    <col min="6" max="6" width="32.5546875" bestFit="1" customWidth="1"/>
    <col min="7" max="8" width="18.109375" customWidth="1"/>
    <col min="9" max="10" width="20.88671875" customWidth="1"/>
    <col min="11" max="11" width="20.33203125" customWidth="1"/>
    <col min="12" max="12" width="15.77734375" customWidth="1"/>
  </cols>
  <sheetData>
    <row r="1" spans="1:12" ht="19.8" x14ac:dyDescent="0.4">
      <c r="A1" s="159" t="s">
        <v>10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</row>
    <row r="2" spans="1:12" ht="15" thickBot="1" x14ac:dyDescent="0.35">
      <c r="A2" s="121"/>
      <c r="B2" s="121"/>
      <c r="C2" s="121"/>
      <c r="D2" s="121"/>
      <c r="E2" s="121"/>
      <c r="F2" s="122"/>
      <c r="G2" s="121"/>
      <c r="H2" s="121"/>
      <c r="I2" s="121"/>
      <c r="J2" s="121"/>
      <c r="K2" s="121"/>
      <c r="L2" s="121"/>
    </row>
    <row r="3" spans="1:12" ht="15.6" x14ac:dyDescent="0.3">
      <c r="A3" s="43" t="s">
        <v>0</v>
      </c>
      <c r="B3" s="44" t="s">
        <v>1</v>
      </c>
      <c r="C3" s="45" t="s">
        <v>359</v>
      </c>
      <c r="D3" s="46" t="s">
        <v>2</v>
      </c>
      <c r="E3" s="45" t="s">
        <v>55</v>
      </c>
      <c r="F3" s="47" t="s">
        <v>3</v>
      </c>
      <c r="G3" s="45" t="s">
        <v>4</v>
      </c>
      <c r="H3" s="45" t="s">
        <v>5</v>
      </c>
      <c r="I3" s="45" t="s">
        <v>6</v>
      </c>
      <c r="J3" s="45" t="s">
        <v>358</v>
      </c>
      <c r="K3" s="45" t="s">
        <v>79</v>
      </c>
      <c r="L3" s="48" t="s">
        <v>82</v>
      </c>
    </row>
    <row r="4" spans="1:12" x14ac:dyDescent="0.3">
      <c r="A4" s="51" t="s">
        <v>20</v>
      </c>
      <c r="B4" s="35" t="s">
        <v>21</v>
      </c>
      <c r="C4" s="9" t="s">
        <v>355</v>
      </c>
      <c r="D4" s="38" t="s">
        <v>22</v>
      </c>
      <c r="E4" s="7">
        <f t="shared" ref="E4:E18" ca="1" si="0">RANDBETWEEN(DATE(2007,1,1),DATE(2007,12,31))</f>
        <v>39109</v>
      </c>
      <c r="F4" s="11" t="s">
        <v>23</v>
      </c>
      <c r="G4" s="10" t="s">
        <v>24</v>
      </c>
      <c r="H4" s="10" t="s">
        <v>19</v>
      </c>
      <c r="I4" s="10" t="s">
        <v>10</v>
      </c>
      <c r="J4" s="9" t="str">
        <f t="shared" ref="J4:J18" si="1">IF(I4="Football","$120",IF(I4="Basketball","$200",IF(I4="Netball","$225",IF(I4="Hockey","$275",IF(I4="Swimming","$350")))))</f>
        <v>$120</v>
      </c>
      <c r="K4" s="9" t="s">
        <v>80</v>
      </c>
      <c r="L4" s="50">
        <f>IF(K4="Full",J4*Dataset!$D$3*0.9,IF(K4="Installment",J4*Dataset!$D$3*1.15))</f>
        <v>1104</v>
      </c>
    </row>
    <row r="5" spans="1:12" x14ac:dyDescent="0.3">
      <c r="A5" s="51" t="s">
        <v>25</v>
      </c>
      <c r="B5" s="35" t="s">
        <v>26</v>
      </c>
      <c r="C5" s="9" t="s">
        <v>355</v>
      </c>
      <c r="D5" s="38" t="s">
        <v>27</v>
      </c>
      <c r="E5" s="7">
        <f t="shared" ca="1" si="0"/>
        <v>39350</v>
      </c>
      <c r="F5" s="11" t="s">
        <v>28</v>
      </c>
      <c r="G5" s="10" t="s">
        <v>29</v>
      </c>
      <c r="H5" s="10" t="s">
        <v>30</v>
      </c>
      <c r="I5" s="10" t="s">
        <v>10</v>
      </c>
      <c r="J5" s="9" t="str">
        <f t="shared" si="1"/>
        <v>$120</v>
      </c>
      <c r="K5" s="9" t="s">
        <v>80</v>
      </c>
      <c r="L5" s="50">
        <f>IF(K5="Full",J5*Dataset!$D$3*0.9,IF(K5="Installment",J5*Dataset!$D$3*1.15))</f>
        <v>1104</v>
      </c>
    </row>
    <row r="6" spans="1:12" x14ac:dyDescent="0.3">
      <c r="A6" s="51" t="s">
        <v>42</v>
      </c>
      <c r="B6" s="35" t="s">
        <v>43</v>
      </c>
      <c r="C6" s="9" t="s">
        <v>354</v>
      </c>
      <c r="D6" s="38" t="s">
        <v>44</v>
      </c>
      <c r="E6" s="7">
        <f t="shared" ca="1" si="0"/>
        <v>39100</v>
      </c>
      <c r="F6" s="11" t="s">
        <v>45</v>
      </c>
      <c r="G6" s="10" t="s">
        <v>46</v>
      </c>
      <c r="H6" s="10" t="s">
        <v>13</v>
      </c>
      <c r="I6" s="10" t="s">
        <v>10</v>
      </c>
      <c r="J6" s="9" t="str">
        <f t="shared" si="1"/>
        <v>$120</v>
      </c>
      <c r="K6" s="9" t="s">
        <v>80</v>
      </c>
      <c r="L6" s="50">
        <f>IF(K6="Full",J6*Dataset!$D$3*0.9,IF(K6="Installment",J6*Dataset!$D$3*1.15))</f>
        <v>1104</v>
      </c>
    </row>
    <row r="7" spans="1:12" x14ac:dyDescent="0.3">
      <c r="A7" s="51" t="s">
        <v>47</v>
      </c>
      <c r="B7" s="35" t="s">
        <v>48</v>
      </c>
      <c r="C7" s="9" t="s">
        <v>354</v>
      </c>
      <c r="D7" s="38" t="s">
        <v>49</v>
      </c>
      <c r="E7" s="7">
        <f t="shared" ca="1" si="0"/>
        <v>39444</v>
      </c>
      <c r="F7" s="11" t="s">
        <v>50</v>
      </c>
      <c r="G7" s="10" t="s">
        <v>51</v>
      </c>
      <c r="H7" s="10" t="s">
        <v>19</v>
      </c>
      <c r="I7" s="10" t="s">
        <v>10</v>
      </c>
      <c r="J7" s="9" t="str">
        <f t="shared" si="1"/>
        <v>$120</v>
      </c>
      <c r="K7" s="9" t="s">
        <v>80</v>
      </c>
      <c r="L7" s="50">
        <f>IF(K7="Full",J7*Dataset!$D$3*0.9,IF(K7="Installment",J7*Dataset!$D$3*1.15))</f>
        <v>1104</v>
      </c>
    </row>
    <row r="8" spans="1:12" x14ac:dyDescent="0.3">
      <c r="A8" s="51" t="s">
        <v>58</v>
      </c>
      <c r="B8" s="35" t="s">
        <v>59</v>
      </c>
      <c r="C8" s="9" t="s">
        <v>355</v>
      </c>
      <c r="D8" s="38" t="s">
        <v>60</v>
      </c>
      <c r="E8" s="7">
        <f t="shared" ca="1" si="0"/>
        <v>39164</v>
      </c>
      <c r="F8" s="11" t="s">
        <v>61</v>
      </c>
      <c r="G8" s="10" t="s">
        <v>62</v>
      </c>
      <c r="H8" s="10" t="s">
        <v>63</v>
      </c>
      <c r="I8" s="10" t="s">
        <v>10</v>
      </c>
      <c r="J8" s="9" t="str">
        <f t="shared" si="1"/>
        <v>$120</v>
      </c>
      <c r="K8" s="9" t="s">
        <v>80</v>
      </c>
      <c r="L8" s="50">
        <f>IF(K8="Full",J8*Dataset!$D$3*0.9,IF(K8="Installment",J8*Dataset!$D$3*1.15))</f>
        <v>1104</v>
      </c>
    </row>
    <row r="9" spans="1:12" x14ac:dyDescent="0.3">
      <c r="A9" s="51" t="s">
        <v>362</v>
      </c>
      <c r="B9" s="35" t="s">
        <v>363</v>
      </c>
      <c r="C9" s="9" t="s">
        <v>354</v>
      </c>
      <c r="D9" s="38" t="s">
        <v>364</v>
      </c>
      <c r="E9" s="7">
        <f t="shared" ca="1" si="0"/>
        <v>39110</v>
      </c>
      <c r="F9" s="12" t="s">
        <v>365</v>
      </c>
      <c r="G9" s="10" t="s">
        <v>366</v>
      </c>
      <c r="H9" s="10" t="s">
        <v>13</v>
      </c>
      <c r="I9" s="10" t="s">
        <v>10</v>
      </c>
      <c r="J9" s="9" t="str">
        <f t="shared" si="1"/>
        <v>$120</v>
      </c>
      <c r="K9" s="9" t="s">
        <v>80</v>
      </c>
      <c r="L9" s="50">
        <f>IF(K9="Full",J9*Dataset!$D$3*0.9,IF(K9="Installment",J9*Dataset!$D$3*1.15))</f>
        <v>1104</v>
      </c>
    </row>
    <row r="10" spans="1:12" x14ac:dyDescent="0.3">
      <c r="A10" s="49" t="s">
        <v>7</v>
      </c>
      <c r="B10" s="34" t="s">
        <v>8</v>
      </c>
      <c r="C10" s="9" t="s">
        <v>355</v>
      </c>
      <c r="D10" s="37" t="s">
        <v>9</v>
      </c>
      <c r="E10" s="7">
        <f t="shared" ca="1" si="0"/>
        <v>39345</v>
      </c>
      <c r="F10" s="8" t="s">
        <v>11</v>
      </c>
      <c r="G10" s="6" t="s">
        <v>12</v>
      </c>
      <c r="H10" s="6" t="s">
        <v>13</v>
      </c>
      <c r="I10" s="6" t="s">
        <v>10</v>
      </c>
      <c r="J10" s="9" t="str">
        <f t="shared" si="1"/>
        <v>$120</v>
      </c>
      <c r="K10" s="9" t="s">
        <v>197</v>
      </c>
      <c r="L10" s="50">
        <f>IF(K10="Full",J10*Dataset!$D$3*0.9,IF(K10="Installment",J10*Dataset!$D$3*1.15))</f>
        <v>864</v>
      </c>
    </row>
    <row r="11" spans="1:12" x14ac:dyDescent="0.3">
      <c r="A11" s="51" t="s">
        <v>15</v>
      </c>
      <c r="B11" s="35" t="s">
        <v>14</v>
      </c>
      <c r="C11" s="9" t="s">
        <v>354</v>
      </c>
      <c r="D11" s="38" t="s">
        <v>16</v>
      </c>
      <c r="E11" s="7">
        <f t="shared" ca="1" si="0"/>
        <v>39098</v>
      </c>
      <c r="F11" s="11" t="s">
        <v>17</v>
      </c>
      <c r="G11" s="10" t="s">
        <v>18</v>
      </c>
      <c r="H11" s="10" t="s">
        <v>19</v>
      </c>
      <c r="I11" s="10" t="s">
        <v>10</v>
      </c>
      <c r="J11" s="9" t="str">
        <f t="shared" si="1"/>
        <v>$120</v>
      </c>
      <c r="K11" s="9" t="s">
        <v>197</v>
      </c>
      <c r="L11" s="50">
        <f>IF(K11="Full",J11*Dataset!$D$3*0.9,IF(K11="Installment",J11*Dataset!$D$3*1.15))</f>
        <v>864</v>
      </c>
    </row>
    <row r="12" spans="1:12" x14ac:dyDescent="0.3">
      <c r="A12" s="51" t="s">
        <v>32</v>
      </c>
      <c r="B12" s="36" t="s">
        <v>31</v>
      </c>
      <c r="C12" s="9" t="s">
        <v>355</v>
      </c>
      <c r="D12" s="38" t="s">
        <v>33</v>
      </c>
      <c r="E12" s="7">
        <f t="shared" ca="1" si="0"/>
        <v>39435</v>
      </c>
      <c r="F12" s="11" t="s">
        <v>34</v>
      </c>
      <c r="G12" s="10" t="s">
        <v>35</v>
      </c>
      <c r="H12" s="10" t="s">
        <v>13</v>
      </c>
      <c r="I12" s="6" t="s">
        <v>10</v>
      </c>
      <c r="J12" s="9" t="str">
        <f t="shared" si="1"/>
        <v>$120</v>
      </c>
      <c r="K12" s="9" t="s">
        <v>197</v>
      </c>
      <c r="L12" s="50">
        <f>IF(K12="Full",J12*Dataset!$D$3*0.9,IF(K12="Installment",J12*Dataset!$D$3*1.15))</f>
        <v>864</v>
      </c>
    </row>
    <row r="13" spans="1:12" x14ac:dyDescent="0.3">
      <c r="A13" s="51" t="s">
        <v>36</v>
      </c>
      <c r="B13" s="35" t="s">
        <v>37</v>
      </c>
      <c r="C13" s="9" t="s">
        <v>354</v>
      </c>
      <c r="D13" s="38" t="s">
        <v>38</v>
      </c>
      <c r="E13" s="7">
        <f t="shared" ca="1" si="0"/>
        <v>39383</v>
      </c>
      <c r="F13" s="11" t="s">
        <v>39</v>
      </c>
      <c r="G13" s="10" t="s">
        <v>40</v>
      </c>
      <c r="H13" s="10" t="s">
        <v>30</v>
      </c>
      <c r="I13" s="10" t="s">
        <v>10</v>
      </c>
      <c r="J13" s="9" t="str">
        <f t="shared" si="1"/>
        <v>$120</v>
      </c>
      <c r="K13" s="9" t="s">
        <v>197</v>
      </c>
      <c r="L13" s="50">
        <f>IF(K13="Full",J13*Dataset!$D$3*0.9,IF(K13="Installment",J13*Dataset!$D$3*1.15))</f>
        <v>864</v>
      </c>
    </row>
    <row r="14" spans="1:12" x14ac:dyDescent="0.3">
      <c r="A14" s="51" t="s">
        <v>36</v>
      </c>
      <c r="B14" s="35" t="s">
        <v>41</v>
      </c>
      <c r="C14" s="9" t="s">
        <v>354</v>
      </c>
      <c r="D14" s="38" t="s">
        <v>38</v>
      </c>
      <c r="E14" s="7">
        <f t="shared" ca="1" si="0"/>
        <v>39106</v>
      </c>
      <c r="F14" s="11" t="s">
        <v>39</v>
      </c>
      <c r="G14" s="10" t="s">
        <v>40</v>
      </c>
      <c r="H14" s="10" t="s">
        <v>30</v>
      </c>
      <c r="I14" s="10" t="s">
        <v>10</v>
      </c>
      <c r="J14" s="9" t="str">
        <f t="shared" si="1"/>
        <v>$120</v>
      </c>
      <c r="K14" s="9" t="s">
        <v>197</v>
      </c>
      <c r="L14" s="50">
        <f>IF(K14="Full",J14*Dataset!$D$3*0.9,IF(K14="Installment",J14*Dataset!$D$3*1.15))</f>
        <v>864</v>
      </c>
    </row>
    <row r="15" spans="1:12" x14ac:dyDescent="0.3">
      <c r="A15" s="51" t="s">
        <v>52</v>
      </c>
      <c r="B15" s="35" t="s">
        <v>53</v>
      </c>
      <c r="C15" s="9" t="s">
        <v>355</v>
      </c>
      <c r="D15" s="38" t="s">
        <v>54</v>
      </c>
      <c r="E15" s="7">
        <f t="shared" ca="1" si="0"/>
        <v>39198</v>
      </c>
      <c r="F15" s="11" t="s">
        <v>56</v>
      </c>
      <c r="G15" s="10" t="s">
        <v>57</v>
      </c>
      <c r="H15" s="10" t="s">
        <v>30</v>
      </c>
      <c r="I15" s="10" t="s">
        <v>10</v>
      </c>
      <c r="J15" s="9" t="str">
        <f t="shared" si="1"/>
        <v>$120</v>
      </c>
      <c r="K15" s="9" t="s">
        <v>197</v>
      </c>
      <c r="L15" s="50">
        <f>IF(K15="Full",J15*Dataset!$D$3*0.9,IF(K15="Installment",J15*Dataset!$D$3*1.15))</f>
        <v>864</v>
      </c>
    </row>
    <row r="16" spans="1:12" x14ac:dyDescent="0.3">
      <c r="A16" s="51" t="s">
        <v>64</v>
      </c>
      <c r="B16" s="35" t="s">
        <v>65</v>
      </c>
      <c r="C16" s="9" t="s">
        <v>354</v>
      </c>
      <c r="D16" s="38" t="s">
        <v>66</v>
      </c>
      <c r="E16" s="7">
        <f t="shared" ca="1" si="0"/>
        <v>39089</v>
      </c>
      <c r="F16" s="11" t="s">
        <v>67</v>
      </c>
      <c r="G16" s="10" t="s">
        <v>68</v>
      </c>
      <c r="H16" s="10" t="s">
        <v>30</v>
      </c>
      <c r="I16" s="10" t="s">
        <v>10</v>
      </c>
      <c r="J16" s="9" t="str">
        <f t="shared" si="1"/>
        <v>$120</v>
      </c>
      <c r="K16" s="9" t="s">
        <v>197</v>
      </c>
      <c r="L16" s="50">
        <f>IF(K16="Full",J16*Dataset!$D$3*0.9,IF(K16="Installment",J16*Dataset!$D$3*1.15))</f>
        <v>864</v>
      </c>
    </row>
    <row r="17" spans="1:12" x14ac:dyDescent="0.3">
      <c r="A17" s="51" t="s">
        <v>69</v>
      </c>
      <c r="B17" s="35" t="s">
        <v>70</v>
      </c>
      <c r="C17" s="9" t="s">
        <v>355</v>
      </c>
      <c r="D17" s="38" t="s">
        <v>71</v>
      </c>
      <c r="E17" s="7">
        <f t="shared" ca="1" si="0"/>
        <v>39250</v>
      </c>
      <c r="F17" s="12" t="s">
        <v>72</v>
      </c>
      <c r="G17" s="10" t="s">
        <v>77</v>
      </c>
      <c r="H17" s="10" t="s">
        <v>30</v>
      </c>
      <c r="I17" s="10" t="s">
        <v>10</v>
      </c>
      <c r="J17" s="9" t="str">
        <f t="shared" si="1"/>
        <v>$120</v>
      </c>
      <c r="K17" s="9" t="s">
        <v>197</v>
      </c>
      <c r="L17" s="50">
        <f>IF(K17="Full",J17*Dataset!$D$3*0.9,IF(K17="Installment",J17*Dataset!$D$3*1.15))</f>
        <v>864</v>
      </c>
    </row>
    <row r="18" spans="1:12" x14ac:dyDescent="0.3">
      <c r="A18" s="51" t="s">
        <v>74</v>
      </c>
      <c r="B18" s="35" t="s">
        <v>73</v>
      </c>
      <c r="C18" s="9" t="s">
        <v>354</v>
      </c>
      <c r="D18" s="38" t="s">
        <v>75</v>
      </c>
      <c r="E18" s="7">
        <f t="shared" ca="1" si="0"/>
        <v>39225</v>
      </c>
      <c r="F18" s="11" t="s">
        <v>76</v>
      </c>
      <c r="G18" s="10" t="s">
        <v>78</v>
      </c>
      <c r="H18" s="10" t="s">
        <v>19</v>
      </c>
      <c r="I18" s="10" t="s">
        <v>10</v>
      </c>
      <c r="J18" s="9" t="str">
        <f t="shared" si="1"/>
        <v>$120</v>
      </c>
      <c r="K18" s="9" t="s">
        <v>197</v>
      </c>
      <c r="L18" s="50">
        <f>IF(K18="Full",J18*Dataset!$D$3*0.9,IF(K18="Installment",J18*Dataset!$D$3*1.15))</f>
        <v>864</v>
      </c>
    </row>
    <row r="19" spans="1:12" x14ac:dyDescent="0.3">
      <c r="A19" s="63"/>
      <c r="B19" s="64"/>
      <c r="C19" s="64"/>
      <c r="D19" s="64"/>
      <c r="E19" s="64"/>
      <c r="F19" s="64"/>
      <c r="G19" s="64"/>
      <c r="H19" s="9"/>
      <c r="I19" s="9"/>
      <c r="J19" s="9"/>
      <c r="K19" s="33" t="s">
        <v>83</v>
      </c>
      <c r="L19" s="50">
        <f>SUM(L4:L18)</f>
        <v>14400</v>
      </c>
    </row>
    <row r="20" spans="1:12" ht="15" thickBot="1" x14ac:dyDescent="0.35">
      <c r="A20" s="65"/>
      <c r="B20" s="66"/>
      <c r="C20" s="66"/>
      <c r="D20" s="66"/>
      <c r="E20" s="66"/>
      <c r="F20" s="66"/>
      <c r="G20" s="66"/>
      <c r="H20" s="54" t="s">
        <v>84</v>
      </c>
      <c r="I20" s="55">
        <f>COUNTA(A4:A18)</f>
        <v>15</v>
      </c>
      <c r="J20" s="55"/>
      <c r="K20" s="55"/>
      <c r="L20" s="56"/>
    </row>
  </sheetData>
  <sortState ref="A4:L18">
    <sortCondition descending="1" ref="L4:L18"/>
  </sortState>
  <mergeCells count="1">
    <mergeCell ref="A1:L1"/>
  </mergeCells>
  <dataValidations count="1">
    <dataValidation type="date" allowBlank="1" showInputMessage="1" showErrorMessage="1" sqref="E1:E1048576">
      <formula1>38718</formula1>
      <formula2>39812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Dataset!$A$3:$A$4</xm:f>
          </x14:formula1>
          <xm:sqref>C1:C1048576</xm:sqref>
        </x14:dataValidation>
        <x14:dataValidation type="list" allowBlank="1" showInputMessage="1" showErrorMessage="1">
          <x14:formula1>
            <xm:f>Dataset!$C$3:$C$5</xm:f>
          </x14:formula1>
          <xm:sqref>H1:H1048576</xm:sqref>
        </x14:dataValidation>
        <x14:dataValidation type="list" allowBlank="1" showInputMessage="1" showErrorMessage="1">
          <x14:formula1>
            <xm:f>Dataset!$E$3:$E$4</xm:f>
          </x14:formula1>
          <xm:sqref>K1:K1048576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0"/>
  <sheetViews>
    <sheetView workbookViewId="0">
      <selection activeCell="D25" sqref="D25"/>
    </sheetView>
  </sheetViews>
  <sheetFormatPr defaultRowHeight="14.4" x14ac:dyDescent="0.3"/>
  <cols>
    <col min="1" max="1" width="18.109375" customWidth="1"/>
    <col min="2" max="2" width="11" customWidth="1"/>
    <col min="3" max="3" width="7.88671875" bestFit="1" customWidth="1"/>
    <col min="4" max="4" width="25" customWidth="1"/>
    <col min="5" max="5" width="52" customWidth="1"/>
    <col min="6" max="6" width="52" bestFit="1" customWidth="1"/>
    <col min="7" max="7" width="20.109375" customWidth="1"/>
    <col min="8" max="8" width="18.109375" customWidth="1"/>
    <col min="9" max="10" width="17" customWidth="1"/>
    <col min="11" max="11" width="13.5546875" customWidth="1"/>
    <col min="12" max="12" width="13.88671875" customWidth="1"/>
  </cols>
  <sheetData>
    <row r="1" spans="1:58" ht="20.399999999999999" thickBot="1" x14ac:dyDescent="0.45">
      <c r="A1" s="160" t="s">
        <v>90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</row>
    <row r="2" spans="1:58" s="57" customFormat="1" ht="16.2" thickTop="1" x14ac:dyDescent="0.3">
      <c r="A2" s="85" t="s">
        <v>0</v>
      </c>
      <c r="B2" s="86" t="s">
        <v>1</v>
      </c>
      <c r="C2" s="86" t="s">
        <v>359</v>
      </c>
      <c r="D2" s="86" t="s">
        <v>2</v>
      </c>
      <c r="E2" s="86" t="s">
        <v>55</v>
      </c>
      <c r="F2" s="87" t="s">
        <v>3</v>
      </c>
      <c r="G2" s="86" t="s">
        <v>4</v>
      </c>
      <c r="H2" s="86" t="s">
        <v>5</v>
      </c>
      <c r="I2" s="86" t="s">
        <v>6</v>
      </c>
      <c r="J2" s="86" t="s">
        <v>81</v>
      </c>
      <c r="K2" s="88" t="s">
        <v>79</v>
      </c>
      <c r="L2" s="89" t="s">
        <v>82</v>
      </c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</row>
    <row r="3" spans="1:58" s="52" customFormat="1" x14ac:dyDescent="0.3">
      <c r="A3" s="90" t="s">
        <v>91</v>
      </c>
      <c r="B3" s="18" t="s">
        <v>92</v>
      </c>
      <c r="C3" s="21" t="s">
        <v>355</v>
      </c>
      <c r="D3" s="18" t="s">
        <v>93</v>
      </c>
      <c r="E3" s="19">
        <f t="shared" ref="E3:E17" ca="1" si="0">RANDBETWEEN(DATE(2007,1,1),DATE(2007,12,31))</f>
        <v>39110</v>
      </c>
      <c r="F3" s="20" t="s">
        <v>94</v>
      </c>
      <c r="G3" s="18" t="s">
        <v>95</v>
      </c>
      <c r="H3" s="18" t="s">
        <v>30</v>
      </c>
      <c r="I3" s="18" t="s">
        <v>90</v>
      </c>
      <c r="J3" s="21" t="str">
        <f t="shared" ref="J3:J17" si="1">IF(I3="Football","$120",IF(I3="Basketball","$200",IF(I3="Netball","$225",IF(I3="Hockey","$275",IF(I3="Swimming","$350")))))</f>
        <v>$200</v>
      </c>
      <c r="K3" s="21" t="s">
        <v>197</v>
      </c>
      <c r="L3" s="91">
        <f>IF(K4="Full",J4*Dataset!$D$3*0.9,IF(K4="Installment",J4*Dataset!$D$3*1.15))</f>
        <v>1839.9999999999998</v>
      </c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</row>
    <row r="4" spans="1:58" s="52" customFormat="1" x14ac:dyDescent="0.3">
      <c r="A4" s="90" t="s">
        <v>96</v>
      </c>
      <c r="B4" s="18" t="s">
        <v>97</v>
      </c>
      <c r="C4" s="21" t="s">
        <v>354</v>
      </c>
      <c r="D4" s="18" t="s">
        <v>98</v>
      </c>
      <c r="E4" s="19">
        <f t="shared" ca="1" si="0"/>
        <v>39267</v>
      </c>
      <c r="F4" s="20" t="s">
        <v>99</v>
      </c>
      <c r="G4" s="18" t="s">
        <v>143</v>
      </c>
      <c r="H4" s="18" t="s">
        <v>30</v>
      </c>
      <c r="I4" s="18" t="s">
        <v>90</v>
      </c>
      <c r="J4" s="21" t="str">
        <f t="shared" si="1"/>
        <v>$200</v>
      </c>
      <c r="K4" s="21" t="s">
        <v>80</v>
      </c>
      <c r="L4" s="91">
        <f>IF(K5="Full",J5*Dataset!$D$3*0.9,IF(K5="Installment",J5*Dataset!$D$3*1.15))</f>
        <v>1440</v>
      </c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</row>
    <row r="5" spans="1:58" s="52" customFormat="1" x14ac:dyDescent="0.3">
      <c r="A5" s="90" t="s">
        <v>148</v>
      </c>
      <c r="B5" s="18" t="s">
        <v>147</v>
      </c>
      <c r="C5" s="21" t="s">
        <v>354</v>
      </c>
      <c r="D5" s="18" t="s">
        <v>149</v>
      </c>
      <c r="E5" s="19">
        <f t="shared" ca="1" si="0"/>
        <v>39382</v>
      </c>
      <c r="F5" s="20" t="s">
        <v>101</v>
      </c>
      <c r="G5" s="18" t="s">
        <v>150</v>
      </c>
      <c r="H5" s="18" t="s">
        <v>19</v>
      </c>
      <c r="I5" s="18" t="s">
        <v>90</v>
      </c>
      <c r="J5" s="21" t="str">
        <f t="shared" si="1"/>
        <v>$200</v>
      </c>
      <c r="K5" s="21" t="s">
        <v>197</v>
      </c>
      <c r="L5" s="91">
        <f>IF(K6="Full",J6*Dataset!$D$3*0.9,IF(K6="Installment",J6*Dataset!$D$3*1.15))</f>
        <v>1839.9999999999998</v>
      </c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</row>
    <row r="6" spans="1:58" s="52" customFormat="1" x14ac:dyDescent="0.3">
      <c r="A6" s="90" t="s">
        <v>152</v>
      </c>
      <c r="B6" s="18" t="s">
        <v>151</v>
      </c>
      <c r="C6" s="21" t="s">
        <v>355</v>
      </c>
      <c r="D6" s="18" t="s">
        <v>153</v>
      </c>
      <c r="E6" s="19">
        <f t="shared" ca="1" si="0"/>
        <v>39154</v>
      </c>
      <c r="F6" s="20" t="s">
        <v>102</v>
      </c>
      <c r="G6" s="18" t="s">
        <v>154</v>
      </c>
      <c r="H6" s="18" t="s">
        <v>13</v>
      </c>
      <c r="I6" s="18" t="s">
        <v>90</v>
      </c>
      <c r="J6" s="21" t="str">
        <f t="shared" si="1"/>
        <v>$200</v>
      </c>
      <c r="K6" s="21" t="s">
        <v>80</v>
      </c>
      <c r="L6" s="91">
        <f>IF(K7="Full",J7*Dataset!$D$3*0.9,IF(K7="Installment",J7*Dataset!$D$3*1.15))</f>
        <v>1440</v>
      </c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</row>
    <row r="7" spans="1:58" s="52" customFormat="1" x14ac:dyDescent="0.3">
      <c r="A7" s="90" t="s">
        <v>168</v>
      </c>
      <c r="B7" s="18" t="s">
        <v>53</v>
      </c>
      <c r="C7" s="21" t="s">
        <v>355</v>
      </c>
      <c r="D7" s="18" t="s">
        <v>169</v>
      </c>
      <c r="E7" s="19">
        <f t="shared" ca="1" si="0"/>
        <v>39191</v>
      </c>
      <c r="F7" s="23" t="s">
        <v>106</v>
      </c>
      <c r="G7" s="18" t="s">
        <v>170</v>
      </c>
      <c r="H7" s="18" t="s">
        <v>19</v>
      </c>
      <c r="I7" s="18" t="s">
        <v>90</v>
      </c>
      <c r="J7" s="21" t="str">
        <f t="shared" si="1"/>
        <v>$200</v>
      </c>
      <c r="K7" s="21" t="s">
        <v>197</v>
      </c>
      <c r="L7" s="91">
        <f>IF(K8="Full",J8*Dataset!$D$3*0.9,IF(K8="Installment",J8*Dataset!$D$3*1.15))</f>
        <v>1440</v>
      </c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</row>
    <row r="8" spans="1:58" s="52" customFormat="1" x14ac:dyDescent="0.3">
      <c r="A8" s="90" t="s">
        <v>192</v>
      </c>
      <c r="B8" s="18" t="s">
        <v>191</v>
      </c>
      <c r="C8" s="21" t="s">
        <v>354</v>
      </c>
      <c r="D8" s="18" t="s">
        <v>193</v>
      </c>
      <c r="E8" s="19">
        <f t="shared" ca="1" si="0"/>
        <v>39189</v>
      </c>
      <c r="F8" s="23" t="s">
        <v>109</v>
      </c>
      <c r="G8" s="18" t="s">
        <v>173</v>
      </c>
      <c r="H8" s="18" t="s">
        <v>30</v>
      </c>
      <c r="I8" s="18" t="s">
        <v>90</v>
      </c>
      <c r="J8" s="21" t="str">
        <f t="shared" si="1"/>
        <v>$200</v>
      </c>
      <c r="K8" s="21" t="s">
        <v>197</v>
      </c>
      <c r="L8" s="91">
        <f>IF(K9="Full",J9*Dataset!$D$3*0.9,IF(K9="Installment",J9*Dataset!$D$3*1.15))</f>
        <v>1440</v>
      </c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</row>
    <row r="9" spans="1:58" s="52" customFormat="1" x14ac:dyDescent="0.3">
      <c r="A9" s="90" t="s">
        <v>85</v>
      </c>
      <c r="B9" s="18" t="s">
        <v>86</v>
      </c>
      <c r="C9" s="21" t="s">
        <v>354</v>
      </c>
      <c r="D9" s="18" t="s">
        <v>87</v>
      </c>
      <c r="E9" s="19">
        <f t="shared" ca="1" si="0"/>
        <v>39384</v>
      </c>
      <c r="F9" s="20" t="s">
        <v>88</v>
      </c>
      <c r="G9" s="18" t="s">
        <v>89</v>
      </c>
      <c r="H9" s="18" t="s">
        <v>13</v>
      </c>
      <c r="I9" s="18" t="s">
        <v>90</v>
      </c>
      <c r="J9" s="21" t="str">
        <f t="shared" si="1"/>
        <v>$200</v>
      </c>
      <c r="K9" s="21" t="s">
        <v>197</v>
      </c>
      <c r="L9" s="91">
        <f>IF(K10="Full",J10*Dataset!$D$3*0.9,IF(K10="Installment",J10*Dataset!$D$3*1.15))</f>
        <v>1839.9999999999998</v>
      </c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</row>
    <row r="10" spans="1:58" s="52" customFormat="1" x14ac:dyDescent="0.3">
      <c r="A10" s="90" t="s">
        <v>65</v>
      </c>
      <c r="B10" s="18" t="s">
        <v>144</v>
      </c>
      <c r="C10" s="21" t="s">
        <v>354</v>
      </c>
      <c r="D10" s="18" t="s">
        <v>145</v>
      </c>
      <c r="E10" s="19">
        <f t="shared" ca="1" si="0"/>
        <v>39176</v>
      </c>
      <c r="F10" s="20" t="s">
        <v>100</v>
      </c>
      <c r="G10" s="18" t="s">
        <v>146</v>
      </c>
      <c r="H10" s="18" t="s">
        <v>13</v>
      </c>
      <c r="I10" s="18" t="s">
        <v>90</v>
      </c>
      <c r="J10" s="21" t="str">
        <f t="shared" si="1"/>
        <v>$200</v>
      </c>
      <c r="K10" s="21" t="s">
        <v>80</v>
      </c>
      <c r="L10" s="91">
        <f>IF(K11="Full",J11*Dataset!$D$3*0.9,IF(K11="Installment",J11*Dataset!$D$3*1.15))</f>
        <v>1839.9999999999998</v>
      </c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</row>
    <row r="11" spans="1:58" s="52" customFormat="1" x14ac:dyDescent="0.3">
      <c r="A11" s="90" t="s">
        <v>156</v>
      </c>
      <c r="B11" s="18" t="s">
        <v>155</v>
      </c>
      <c r="C11" s="21" t="s">
        <v>354</v>
      </c>
      <c r="D11" s="18" t="s">
        <v>157</v>
      </c>
      <c r="E11" s="19">
        <f t="shared" ca="1" si="0"/>
        <v>39180</v>
      </c>
      <c r="F11" s="20" t="s">
        <v>103</v>
      </c>
      <c r="G11" s="18" t="s">
        <v>158</v>
      </c>
      <c r="H11" s="18" t="s">
        <v>30</v>
      </c>
      <c r="I11" s="18" t="s">
        <v>90</v>
      </c>
      <c r="J11" s="21" t="str">
        <f t="shared" si="1"/>
        <v>$200</v>
      </c>
      <c r="K11" s="21" t="s">
        <v>80</v>
      </c>
      <c r="L11" s="91">
        <f>IF(K12="Full",J12*Dataset!$D$3*0.9,IF(K12="Installment",J12*Dataset!$D$3*1.15))</f>
        <v>1440</v>
      </c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</row>
    <row r="12" spans="1:58" s="52" customFormat="1" x14ac:dyDescent="0.3">
      <c r="A12" s="90" t="s">
        <v>160</v>
      </c>
      <c r="B12" s="18" t="s">
        <v>159</v>
      </c>
      <c r="C12" s="21" t="s">
        <v>355</v>
      </c>
      <c r="D12" s="18" t="s">
        <v>161</v>
      </c>
      <c r="E12" s="19">
        <f t="shared" ca="1" si="0"/>
        <v>39098</v>
      </c>
      <c r="F12" s="20" t="s">
        <v>104</v>
      </c>
      <c r="G12" s="18" t="s">
        <v>162</v>
      </c>
      <c r="H12" s="22" t="s">
        <v>13</v>
      </c>
      <c r="I12" s="18" t="s">
        <v>90</v>
      </c>
      <c r="J12" s="21" t="str">
        <f t="shared" si="1"/>
        <v>$200</v>
      </c>
      <c r="K12" s="21" t="s">
        <v>197</v>
      </c>
      <c r="L12" s="91">
        <f>IF(K13="Full",J13*Dataset!$D$3*0.9,IF(K13="Installment",J13*Dataset!$D$3*1.15))</f>
        <v>1440</v>
      </c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</row>
    <row r="13" spans="1:58" s="52" customFormat="1" x14ac:dyDescent="0.3">
      <c r="A13" s="90" t="s">
        <v>165</v>
      </c>
      <c r="B13" s="18" t="s">
        <v>164</v>
      </c>
      <c r="C13" s="21" t="s">
        <v>354</v>
      </c>
      <c r="D13" s="18" t="s">
        <v>166</v>
      </c>
      <c r="E13" s="19">
        <f t="shared" ca="1" si="0"/>
        <v>39194</v>
      </c>
      <c r="F13" s="20" t="s">
        <v>105</v>
      </c>
      <c r="G13" s="18" t="s">
        <v>167</v>
      </c>
      <c r="H13" s="18" t="s">
        <v>19</v>
      </c>
      <c r="I13" s="18" t="s">
        <v>90</v>
      </c>
      <c r="J13" s="21" t="str">
        <f t="shared" si="1"/>
        <v>$200</v>
      </c>
      <c r="K13" s="21" t="s">
        <v>197</v>
      </c>
      <c r="L13" s="91">
        <f>IF(K14="Full",J14*Dataset!$D$3*0.9,IF(K14="Installment",J14*Dataset!$D$3*1.15))</f>
        <v>1839.9999999999998</v>
      </c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</row>
    <row r="14" spans="1:58" s="52" customFormat="1" x14ac:dyDescent="0.3">
      <c r="A14" s="90" t="s">
        <v>186</v>
      </c>
      <c r="B14" s="18" t="s">
        <v>185</v>
      </c>
      <c r="C14" s="21" t="s">
        <v>354</v>
      </c>
      <c r="D14" s="18" t="s">
        <v>187</v>
      </c>
      <c r="E14" s="19">
        <f t="shared" ca="1" si="0"/>
        <v>39351</v>
      </c>
      <c r="F14" s="23" t="s">
        <v>107</v>
      </c>
      <c r="G14" s="18" t="s">
        <v>171</v>
      </c>
      <c r="H14" s="18" t="s">
        <v>30</v>
      </c>
      <c r="I14" s="18" t="s">
        <v>90</v>
      </c>
      <c r="J14" s="21" t="str">
        <f t="shared" si="1"/>
        <v>$200</v>
      </c>
      <c r="K14" s="21" t="s">
        <v>80</v>
      </c>
      <c r="L14" s="91">
        <f>IF(K15="Full",J15*Dataset!$D$3*0.9,IF(K15="Installment",J15*Dataset!$D$3*1.15))</f>
        <v>1440</v>
      </c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</row>
    <row r="15" spans="1:58" s="52" customFormat="1" x14ac:dyDescent="0.3">
      <c r="A15" s="90" t="s">
        <v>189</v>
      </c>
      <c r="B15" s="18" t="s">
        <v>188</v>
      </c>
      <c r="C15" s="21" t="s">
        <v>354</v>
      </c>
      <c r="D15" s="18" t="s">
        <v>190</v>
      </c>
      <c r="E15" s="19">
        <f t="shared" ca="1" si="0"/>
        <v>39296</v>
      </c>
      <c r="F15" s="23" t="s">
        <v>108</v>
      </c>
      <c r="G15" s="18" t="s">
        <v>172</v>
      </c>
      <c r="H15" s="18" t="s">
        <v>13</v>
      </c>
      <c r="I15" s="18" t="s">
        <v>90</v>
      </c>
      <c r="J15" s="21" t="str">
        <f t="shared" si="1"/>
        <v>$200</v>
      </c>
      <c r="K15" s="21" t="s">
        <v>197</v>
      </c>
      <c r="L15" s="91">
        <f>IF(K16="Full",J16*Dataset!$D$3*0.9,IF(K16="Installment",J16*Dataset!$D$3*1.15))</f>
        <v>1839.9999999999998</v>
      </c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</row>
    <row r="16" spans="1:58" s="52" customFormat="1" x14ac:dyDescent="0.3">
      <c r="A16" s="90" t="s">
        <v>367</v>
      </c>
      <c r="B16" s="18" t="s">
        <v>368</v>
      </c>
      <c r="C16" s="21" t="s">
        <v>355</v>
      </c>
      <c r="D16" s="18" t="s">
        <v>369</v>
      </c>
      <c r="E16" s="19">
        <f t="shared" ca="1" si="0"/>
        <v>39410</v>
      </c>
      <c r="F16" s="23" t="s">
        <v>370</v>
      </c>
      <c r="G16" s="18" t="s">
        <v>371</v>
      </c>
      <c r="H16" s="18" t="s">
        <v>13</v>
      </c>
      <c r="I16" s="18" t="s">
        <v>90</v>
      </c>
      <c r="J16" s="21" t="str">
        <f t="shared" si="1"/>
        <v>$200</v>
      </c>
      <c r="K16" s="21" t="s">
        <v>80</v>
      </c>
      <c r="L16" s="91">
        <f>IF(K17="Full",J17*Dataset!$D$3*0.9,IF(K17="Installment",J17*Dataset!$D$3*1.15))</f>
        <v>1440</v>
      </c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</row>
    <row r="17" spans="1:58" s="53" customFormat="1" ht="15" thickBot="1" x14ac:dyDescent="0.35">
      <c r="A17" s="90" t="s">
        <v>195</v>
      </c>
      <c r="B17" s="18" t="s">
        <v>194</v>
      </c>
      <c r="C17" s="21" t="s">
        <v>354</v>
      </c>
      <c r="D17" s="18" t="s">
        <v>196</v>
      </c>
      <c r="E17" s="19">
        <f t="shared" ca="1" si="0"/>
        <v>39128</v>
      </c>
      <c r="F17" s="23" t="s">
        <v>110</v>
      </c>
      <c r="G17" s="18" t="s">
        <v>174</v>
      </c>
      <c r="H17" s="18" t="s">
        <v>30</v>
      </c>
      <c r="I17" s="18" t="s">
        <v>90</v>
      </c>
      <c r="J17" s="21" t="str">
        <f t="shared" si="1"/>
        <v>$200</v>
      </c>
      <c r="K17" s="21" t="s">
        <v>197</v>
      </c>
      <c r="L17" s="91">
        <f>IF(K17="Full",J17*Dataset!$D$3*0.9,IF(K17="Installment",J17*Dataset!$D$3*1.15))</f>
        <v>1440</v>
      </c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</row>
    <row r="18" spans="1:58" s="52" customFormat="1" x14ac:dyDescent="0.3">
      <c r="A18" s="92"/>
      <c r="B18" s="21"/>
      <c r="C18" s="21"/>
      <c r="D18" s="21"/>
      <c r="E18" s="21"/>
      <c r="F18" s="21"/>
      <c r="G18" s="21"/>
      <c r="H18" s="21"/>
      <c r="I18" s="21"/>
      <c r="J18" s="21"/>
      <c r="K18" s="93" t="s">
        <v>83</v>
      </c>
      <c r="L18" s="91">
        <f>SUM(L3:L17)</f>
        <v>24000</v>
      </c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</row>
    <row r="19" spans="1:58" s="53" customFormat="1" ht="15" thickBot="1" x14ac:dyDescent="0.35">
      <c r="A19" s="94"/>
      <c r="B19" s="95"/>
      <c r="C19" s="95"/>
      <c r="D19" s="95"/>
      <c r="E19" s="95"/>
      <c r="F19" s="95"/>
      <c r="G19" s="95"/>
      <c r="H19" s="96" t="s">
        <v>84</v>
      </c>
      <c r="I19" s="95">
        <f>COUNTA(A3:A17)</f>
        <v>15</v>
      </c>
      <c r="J19" s="95"/>
      <c r="K19" s="95"/>
      <c r="L19" s="97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</row>
    <row r="20" spans="1:58" ht="15" thickTop="1" x14ac:dyDescent="0.3"/>
  </sheetData>
  <sortState ref="A3:L17">
    <sortCondition descending="1" ref="L3:L17"/>
  </sortState>
  <mergeCells count="1">
    <mergeCell ref="A1:L1"/>
  </mergeCells>
  <dataValidations count="1">
    <dataValidation type="date" allowBlank="1" showInputMessage="1" showErrorMessage="1" sqref="E1:E1048576">
      <formula1>38718</formula1>
      <formula2>39812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Dataset!$A$3:$A$4</xm:f>
          </x14:formula1>
          <xm:sqref>C1:C1048576</xm:sqref>
        </x14:dataValidation>
        <x14:dataValidation type="list" allowBlank="1" showInputMessage="1" showErrorMessage="1">
          <x14:formula1>
            <xm:f>Dataset!$C$3:$C$5</xm:f>
          </x14:formula1>
          <xm:sqref>H1:H1048576</xm:sqref>
        </x14:dataValidation>
        <x14:dataValidation type="list" allowBlank="1" showInputMessage="1" showErrorMessage="1">
          <x14:formula1>
            <xm:f>Dataset!$E$3:$E$4</xm:f>
          </x14:formula1>
          <xm:sqref>K1:K1048576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9"/>
  <sheetViews>
    <sheetView workbookViewId="0">
      <selection activeCell="A2" sqref="A2:L15"/>
    </sheetView>
  </sheetViews>
  <sheetFormatPr defaultRowHeight="14.4" x14ac:dyDescent="0.3"/>
  <cols>
    <col min="1" max="1" width="18.109375" customWidth="1"/>
    <col min="2" max="2" width="11" customWidth="1"/>
    <col min="3" max="3" width="7.88671875" bestFit="1" customWidth="1"/>
    <col min="4" max="4" width="25" customWidth="1"/>
    <col min="5" max="6" width="55.5546875" customWidth="1"/>
    <col min="7" max="8" width="18.109375" customWidth="1"/>
    <col min="9" max="10" width="17" customWidth="1"/>
    <col min="11" max="11" width="18.44140625" customWidth="1"/>
    <col min="12" max="12" width="13.88671875" customWidth="1"/>
  </cols>
  <sheetData>
    <row r="1" spans="1:74" ht="20.399999999999999" thickBot="1" x14ac:dyDescent="0.45">
      <c r="A1" s="161" t="s">
        <v>163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</row>
    <row r="2" spans="1:74" s="57" customFormat="1" ht="16.2" thickTop="1" x14ac:dyDescent="0.3">
      <c r="A2" s="98" t="s">
        <v>0</v>
      </c>
      <c r="B2" s="99" t="s">
        <v>1</v>
      </c>
      <c r="C2" s="99" t="s">
        <v>359</v>
      </c>
      <c r="D2" s="99" t="s">
        <v>2</v>
      </c>
      <c r="E2" s="99" t="s">
        <v>55</v>
      </c>
      <c r="F2" s="100" t="s">
        <v>3</v>
      </c>
      <c r="G2" s="99" t="s">
        <v>4</v>
      </c>
      <c r="H2" s="99" t="s">
        <v>5</v>
      </c>
      <c r="I2" s="99" t="s">
        <v>6</v>
      </c>
      <c r="J2" s="99" t="s">
        <v>81</v>
      </c>
      <c r="K2" s="101" t="s">
        <v>79</v>
      </c>
      <c r="L2" s="102" t="s">
        <v>82</v>
      </c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</row>
    <row r="3" spans="1:74" s="52" customFormat="1" x14ac:dyDescent="0.3">
      <c r="A3" s="103" t="s">
        <v>168</v>
      </c>
      <c r="B3" s="24" t="s">
        <v>201</v>
      </c>
      <c r="C3" s="27" t="s">
        <v>355</v>
      </c>
      <c r="D3" s="24" t="s">
        <v>202</v>
      </c>
      <c r="E3" s="25">
        <f t="shared" ref="E3:E15" ca="1" si="0">RANDBETWEEN(DATE(2007,1,1),DATE(2007,12,31))</f>
        <v>39322</v>
      </c>
      <c r="F3" s="26" t="s">
        <v>112</v>
      </c>
      <c r="G3" s="24" t="s">
        <v>176</v>
      </c>
      <c r="H3" s="24" t="s">
        <v>19</v>
      </c>
      <c r="I3" s="24" t="s">
        <v>163</v>
      </c>
      <c r="J3" s="27" t="str">
        <f t="shared" ref="J3:J15" si="1">IF(I3="Football","$120",IF(I3="Basketball","$200",IF(I3="Netball","$225",IF(I3="Hockey","$275",IF(I3="Swimming","$350")))))</f>
        <v>$225</v>
      </c>
      <c r="K3" s="27" t="s">
        <v>80</v>
      </c>
      <c r="L3" s="104">
        <f>IF(K3="Full",J3*Dataset!$D$3*0.9,IF(K3="Installment",J3*Dataset!$D$3*1.15))</f>
        <v>2070</v>
      </c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</row>
    <row r="4" spans="1:74" s="52" customFormat="1" x14ac:dyDescent="0.3">
      <c r="A4" s="103" t="s">
        <v>210</v>
      </c>
      <c r="B4" s="24" t="s">
        <v>209</v>
      </c>
      <c r="C4" s="27" t="s">
        <v>355</v>
      </c>
      <c r="D4" s="24" t="s">
        <v>211</v>
      </c>
      <c r="E4" s="25">
        <f t="shared" ca="1" si="0"/>
        <v>39280</v>
      </c>
      <c r="F4" s="26" t="s">
        <v>115</v>
      </c>
      <c r="G4" s="24" t="s">
        <v>179</v>
      </c>
      <c r="H4" s="24" t="s">
        <v>30</v>
      </c>
      <c r="I4" s="24" t="s">
        <v>163</v>
      </c>
      <c r="J4" s="27" t="str">
        <f t="shared" si="1"/>
        <v>$225</v>
      </c>
      <c r="K4" s="27" t="s">
        <v>80</v>
      </c>
      <c r="L4" s="104">
        <f>IF(K4="Full",J4*Dataset!$D$3*0.9,IF(K4="Installment",J4*Dataset!$D$3*1.15))</f>
        <v>2070</v>
      </c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</row>
    <row r="5" spans="1:74" s="52" customFormat="1" x14ac:dyDescent="0.3">
      <c r="A5" s="103" t="s">
        <v>213</v>
      </c>
      <c r="B5" s="27" t="s">
        <v>212</v>
      </c>
      <c r="C5" s="27" t="s">
        <v>354</v>
      </c>
      <c r="D5" s="24" t="s">
        <v>214</v>
      </c>
      <c r="E5" s="25">
        <f t="shared" ca="1" si="0"/>
        <v>39137</v>
      </c>
      <c r="F5" s="26" t="s">
        <v>116</v>
      </c>
      <c r="G5" s="24" t="s">
        <v>180</v>
      </c>
      <c r="H5" s="24" t="s">
        <v>30</v>
      </c>
      <c r="I5" s="24" t="s">
        <v>163</v>
      </c>
      <c r="J5" s="27" t="str">
        <f t="shared" si="1"/>
        <v>$225</v>
      </c>
      <c r="K5" s="27" t="s">
        <v>80</v>
      </c>
      <c r="L5" s="104">
        <f>IF(K5="Full",J5*Dataset!$D$3*0.9,IF(K5="Installment",J5*Dataset!$D$3*1.15))</f>
        <v>2070</v>
      </c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</row>
    <row r="6" spans="1:74" s="52" customFormat="1" x14ac:dyDescent="0.3">
      <c r="A6" s="103" t="s">
        <v>216</v>
      </c>
      <c r="B6" s="27" t="s">
        <v>215</v>
      </c>
      <c r="C6" s="27" t="s">
        <v>354</v>
      </c>
      <c r="D6" s="24" t="s">
        <v>217</v>
      </c>
      <c r="E6" s="25">
        <f t="shared" ca="1" si="0"/>
        <v>39413</v>
      </c>
      <c r="F6" s="26" t="s">
        <v>117</v>
      </c>
      <c r="G6" s="24" t="s">
        <v>181</v>
      </c>
      <c r="H6" s="24" t="s">
        <v>19</v>
      </c>
      <c r="I6" s="24" t="s">
        <v>163</v>
      </c>
      <c r="J6" s="27" t="str">
        <f t="shared" si="1"/>
        <v>$225</v>
      </c>
      <c r="K6" s="27" t="s">
        <v>80</v>
      </c>
      <c r="L6" s="104">
        <f>IF(K6="Full",J6*Dataset!$D$3*0.9,IF(K6="Installment",J6*Dataset!$D$3*1.15))</f>
        <v>2070</v>
      </c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</row>
    <row r="7" spans="1:74" s="52" customFormat="1" x14ac:dyDescent="0.3">
      <c r="A7" s="103" t="s">
        <v>222</v>
      </c>
      <c r="B7" s="27" t="s">
        <v>221</v>
      </c>
      <c r="C7" s="27" t="s">
        <v>354</v>
      </c>
      <c r="D7" s="24" t="s">
        <v>223</v>
      </c>
      <c r="E7" s="25">
        <f t="shared" ca="1" si="0"/>
        <v>39140</v>
      </c>
      <c r="F7" s="26" t="s">
        <v>119</v>
      </c>
      <c r="G7" s="24" t="s">
        <v>183</v>
      </c>
      <c r="H7" s="24" t="s">
        <v>30</v>
      </c>
      <c r="I7" s="24" t="s">
        <v>163</v>
      </c>
      <c r="J7" s="27" t="str">
        <f t="shared" si="1"/>
        <v>$225</v>
      </c>
      <c r="K7" s="27" t="s">
        <v>80</v>
      </c>
      <c r="L7" s="104">
        <f>IF(K7="Full",J7*Dataset!$D$3*0.9,IF(K7="Installment",J7*Dataset!$D$3*1.15))</f>
        <v>2070</v>
      </c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</row>
    <row r="8" spans="1:74" s="52" customFormat="1" x14ac:dyDescent="0.3">
      <c r="A8" s="103" t="s">
        <v>199</v>
      </c>
      <c r="B8" s="24" t="s">
        <v>198</v>
      </c>
      <c r="C8" s="27" t="s">
        <v>355</v>
      </c>
      <c r="D8" s="24" t="s">
        <v>200</v>
      </c>
      <c r="E8" s="25">
        <f t="shared" ca="1" si="0"/>
        <v>39313</v>
      </c>
      <c r="F8" s="26" t="s">
        <v>111</v>
      </c>
      <c r="G8" s="24" t="s">
        <v>175</v>
      </c>
      <c r="H8" s="24" t="s">
        <v>13</v>
      </c>
      <c r="I8" s="24" t="s">
        <v>163</v>
      </c>
      <c r="J8" s="27" t="str">
        <f t="shared" si="1"/>
        <v>$225</v>
      </c>
      <c r="K8" s="27" t="s">
        <v>197</v>
      </c>
      <c r="L8" s="104">
        <f>IF(K8="Full",J8*Dataset!$D$3*0.9,IF(K8="Installment",J8*Dataset!$D$3*1.15))</f>
        <v>1620</v>
      </c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</row>
    <row r="9" spans="1:74" s="52" customFormat="1" x14ac:dyDescent="0.3">
      <c r="A9" s="103" t="s">
        <v>204</v>
      </c>
      <c r="B9" s="24" t="s">
        <v>203</v>
      </c>
      <c r="C9" s="27" t="s">
        <v>354</v>
      </c>
      <c r="D9" s="24" t="s">
        <v>205</v>
      </c>
      <c r="E9" s="25">
        <f t="shared" ca="1" si="0"/>
        <v>39257</v>
      </c>
      <c r="F9" s="26" t="s">
        <v>113</v>
      </c>
      <c r="G9" s="24" t="s">
        <v>177</v>
      </c>
      <c r="H9" s="24" t="s">
        <v>30</v>
      </c>
      <c r="I9" s="24" t="s">
        <v>163</v>
      </c>
      <c r="J9" s="27" t="str">
        <f t="shared" si="1"/>
        <v>$225</v>
      </c>
      <c r="K9" s="27" t="s">
        <v>197</v>
      </c>
      <c r="L9" s="104">
        <f>IF(K9="Full",J9*Dataset!$D$3*0.9,IF(K9="Installment",J9*Dataset!$D$3*1.15))</f>
        <v>1620</v>
      </c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</row>
    <row r="10" spans="1:74" s="52" customFormat="1" x14ac:dyDescent="0.3">
      <c r="A10" s="103" t="s">
        <v>207</v>
      </c>
      <c r="B10" s="24" t="s">
        <v>206</v>
      </c>
      <c r="C10" s="27" t="s">
        <v>355</v>
      </c>
      <c r="D10" s="24" t="s">
        <v>208</v>
      </c>
      <c r="E10" s="25">
        <f t="shared" ca="1" si="0"/>
        <v>39229</v>
      </c>
      <c r="F10" s="26" t="s">
        <v>114</v>
      </c>
      <c r="G10" s="24" t="s">
        <v>178</v>
      </c>
      <c r="H10" s="24" t="s">
        <v>63</v>
      </c>
      <c r="I10" s="24" t="s">
        <v>163</v>
      </c>
      <c r="J10" s="27" t="str">
        <f t="shared" si="1"/>
        <v>$225</v>
      </c>
      <c r="K10" s="27" t="s">
        <v>197</v>
      </c>
      <c r="L10" s="104">
        <f>IF(K10="Full",J10*Dataset!$D$3*0.9,IF(K10="Installment",J10*Dataset!$D$3*1.15))</f>
        <v>1620</v>
      </c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</row>
    <row r="11" spans="1:74" s="52" customFormat="1" x14ac:dyDescent="0.3">
      <c r="A11" s="103" t="s">
        <v>219</v>
      </c>
      <c r="B11" s="27" t="s">
        <v>218</v>
      </c>
      <c r="C11" s="27" t="s">
        <v>355</v>
      </c>
      <c r="D11" s="24" t="s">
        <v>220</v>
      </c>
      <c r="E11" s="25">
        <f t="shared" ca="1" si="0"/>
        <v>39163</v>
      </c>
      <c r="F11" s="26" t="s">
        <v>118</v>
      </c>
      <c r="G11" s="24" t="s">
        <v>182</v>
      </c>
      <c r="H11" s="24" t="s">
        <v>13</v>
      </c>
      <c r="I11" s="24" t="s">
        <v>163</v>
      </c>
      <c r="J11" s="27" t="str">
        <f t="shared" si="1"/>
        <v>$225</v>
      </c>
      <c r="K11" s="27" t="s">
        <v>197</v>
      </c>
      <c r="L11" s="104">
        <f>IF(K11="Full",J11*Dataset!$D$3*0.9,IF(K11="Installment",J11*Dataset!$D$3*1.15))</f>
        <v>1620</v>
      </c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</row>
    <row r="12" spans="1:74" s="52" customFormat="1" x14ac:dyDescent="0.3">
      <c r="A12" s="103" t="s">
        <v>225</v>
      </c>
      <c r="B12" s="27" t="s">
        <v>224</v>
      </c>
      <c r="C12" s="27" t="s">
        <v>354</v>
      </c>
      <c r="D12" s="24" t="s">
        <v>226</v>
      </c>
      <c r="E12" s="25">
        <f t="shared" ca="1" si="0"/>
        <v>39382</v>
      </c>
      <c r="F12" s="26" t="s">
        <v>120</v>
      </c>
      <c r="G12" s="24" t="s">
        <v>184</v>
      </c>
      <c r="H12" s="24" t="s">
        <v>30</v>
      </c>
      <c r="I12" s="24" t="s">
        <v>163</v>
      </c>
      <c r="J12" s="27" t="str">
        <f t="shared" si="1"/>
        <v>$225</v>
      </c>
      <c r="K12" s="27" t="s">
        <v>197</v>
      </c>
      <c r="L12" s="104">
        <f>IF(K12="Full",J12*Dataset!$D$3*0.9,IF(K12="Installment",J12*Dataset!$D$3*1.15))</f>
        <v>1620</v>
      </c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</row>
    <row r="13" spans="1:74" s="52" customFormat="1" x14ac:dyDescent="0.3">
      <c r="A13" s="103" t="s">
        <v>228</v>
      </c>
      <c r="B13" s="27" t="s">
        <v>227</v>
      </c>
      <c r="C13" s="27" t="s">
        <v>355</v>
      </c>
      <c r="D13" s="24" t="s">
        <v>229</v>
      </c>
      <c r="E13" s="25">
        <f t="shared" ca="1" si="0"/>
        <v>39224</v>
      </c>
      <c r="F13" s="26" t="s">
        <v>121</v>
      </c>
      <c r="G13" s="24" t="s">
        <v>249</v>
      </c>
      <c r="H13" s="24" t="s">
        <v>13</v>
      </c>
      <c r="I13" s="24" t="s">
        <v>163</v>
      </c>
      <c r="J13" s="27" t="str">
        <f t="shared" si="1"/>
        <v>$225</v>
      </c>
      <c r="K13" s="27" t="s">
        <v>197</v>
      </c>
      <c r="L13" s="104">
        <f>IF(K13="Full",J13*Dataset!$D$3*0.9,IF(K13="Installment",J13*Dataset!$D$3*1.15))</f>
        <v>1620</v>
      </c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</row>
    <row r="14" spans="1:74" s="52" customFormat="1" x14ac:dyDescent="0.3">
      <c r="A14" s="103" t="s">
        <v>372</v>
      </c>
      <c r="B14" s="27" t="s">
        <v>373</v>
      </c>
      <c r="C14" s="27" t="s">
        <v>354</v>
      </c>
      <c r="D14" s="24" t="s">
        <v>374</v>
      </c>
      <c r="E14" s="25">
        <f t="shared" ca="1" si="0"/>
        <v>39132</v>
      </c>
      <c r="F14" s="26" t="s">
        <v>375</v>
      </c>
      <c r="G14" s="24" t="s">
        <v>376</v>
      </c>
      <c r="H14" s="24" t="s">
        <v>19</v>
      </c>
      <c r="I14" s="24" t="s">
        <v>163</v>
      </c>
      <c r="J14" s="27" t="str">
        <f t="shared" si="1"/>
        <v>$225</v>
      </c>
      <c r="K14" s="27" t="s">
        <v>197</v>
      </c>
      <c r="L14" s="104">
        <f>IF(K14="Full",J14*Dataset!$D$3*0.9,IF(K14="Installment",J14*Dataset!$D$3*1.15))</f>
        <v>1620</v>
      </c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</row>
    <row r="15" spans="1:74" s="52" customFormat="1" x14ac:dyDescent="0.3">
      <c r="A15" s="103" t="s">
        <v>230</v>
      </c>
      <c r="B15" s="27" t="s">
        <v>231</v>
      </c>
      <c r="C15" s="27" t="s">
        <v>354</v>
      </c>
      <c r="D15" s="24" t="s">
        <v>232</v>
      </c>
      <c r="E15" s="25">
        <f t="shared" ca="1" si="0"/>
        <v>39391</v>
      </c>
      <c r="F15" s="26" t="s">
        <v>122</v>
      </c>
      <c r="G15" s="24" t="s">
        <v>250</v>
      </c>
      <c r="H15" s="24" t="s">
        <v>19</v>
      </c>
      <c r="I15" s="24" t="s">
        <v>163</v>
      </c>
      <c r="J15" s="27" t="str">
        <f t="shared" si="1"/>
        <v>$225</v>
      </c>
      <c r="K15" s="27" t="s">
        <v>197</v>
      </c>
      <c r="L15" s="104">
        <f>IF(K15="Full",J15*Dataset!$D$3*0.9,IF(K15="Installment",J15*Dataset!$D$3*1.15))</f>
        <v>1620</v>
      </c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</row>
    <row r="16" spans="1:74" s="52" customFormat="1" x14ac:dyDescent="0.3">
      <c r="A16" s="105"/>
      <c r="B16" s="27"/>
      <c r="C16" s="27"/>
      <c r="D16" s="27"/>
      <c r="E16" s="25"/>
      <c r="F16" s="26"/>
      <c r="G16" s="24"/>
      <c r="H16" s="27"/>
      <c r="I16" s="27"/>
      <c r="J16" s="27"/>
      <c r="K16" s="3" t="s">
        <v>83</v>
      </c>
      <c r="L16" s="104">
        <f>SUM(L3:L15)</f>
        <v>23310</v>
      </c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</row>
    <row r="17" spans="1:74" s="52" customFormat="1" x14ac:dyDescent="0.3">
      <c r="A17" s="105"/>
      <c r="B17" s="27"/>
      <c r="C17" s="27"/>
      <c r="D17" s="27"/>
      <c r="E17" s="27"/>
      <c r="F17" s="27"/>
      <c r="G17" s="27"/>
      <c r="H17" s="3" t="s">
        <v>84</v>
      </c>
      <c r="I17" s="27">
        <f>COUNTA(A3:A15)</f>
        <v>13</v>
      </c>
      <c r="J17" s="27"/>
      <c r="K17" s="27"/>
      <c r="L17" s="106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</row>
    <row r="18" spans="1:74" s="53" customFormat="1" ht="15" thickBot="1" x14ac:dyDescent="0.35">
      <c r="A18" s="107"/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109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</row>
    <row r="19" spans="1:74" ht="15" thickTop="1" x14ac:dyDescent="0.3"/>
  </sheetData>
  <sortState ref="A3:L15">
    <sortCondition descending="1" ref="L3:L15"/>
  </sortState>
  <mergeCells count="1">
    <mergeCell ref="A1:L1"/>
  </mergeCells>
  <dataValidations count="1">
    <dataValidation type="date" allowBlank="1" showInputMessage="1" showErrorMessage="1" sqref="E1:E1048576">
      <formula1>38718</formula1>
      <formula2>39812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Dataset!$A$3:$A$4</xm:f>
          </x14:formula1>
          <xm:sqref>C1:C1048576</xm:sqref>
        </x14:dataValidation>
        <x14:dataValidation type="list" allowBlank="1" showInputMessage="1" showErrorMessage="1">
          <x14:formula1>
            <xm:f>Dataset!$C$3:$C$5</xm:f>
          </x14:formula1>
          <xm:sqref>H1:H1048576</xm:sqref>
        </x14:dataValidation>
        <x14:dataValidation type="list" allowBlank="1" showInputMessage="1" showErrorMessage="1">
          <x14:formula1>
            <xm:f>Dataset!$E$3:$E$4</xm:f>
          </x14:formula1>
          <xm:sqref>K1:K1048576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7"/>
  <sheetViews>
    <sheetView topLeftCell="D1" workbookViewId="0">
      <selection activeCell="H2" sqref="H2"/>
    </sheetView>
  </sheetViews>
  <sheetFormatPr defaultRowHeight="14.4" x14ac:dyDescent="0.3"/>
  <cols>
    <col min="1" max="1" width="18.109375" customWidth="1"/>
    <col min="2" max="2" width="11" customWidth="1"/>
    <col min="3" max="3" width="7.88671875" bestFit="1" customWidth="1"/>
    <col min="4" max="4" width="18.44140625" customWidth="1"/>
    <col min="5" max="5" width="25" customWidth="1"/>
    <col min="6" max="6" width="57.77734375" customWidth="1"/>
    <col min="7" max="7" width="20.109375" customWidth="1"/>
    <col min="8" max="8" width="17.5546875" customWidth="1"/>
    <col min="10" max="10" width="17" customWidth="1"/>
    <col min="11" max="11" width="18.44140625" customWidth="1"/>
    <col min="12" max="12" width="13.88671875" customWidth="1"/>
  </cols>
  <sheetData>
    <row r="1" spans="1:38" ht="20.399999999999999" thickBot="1" x14ac:dyDescent="0.45">
      <c r="A1" s="162" t="s">
        <v>295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</row>
    <row r="2" spans="1:38" s="57" customFormat="1" ht="16.2" thickTop="1" x14ac:dyDescent="0.3">
      <c r="A2" s="110" t="s">
        <v>0</v>
      </c>
      <c r="B2" s="111" t="s">
        <v>1</v>
      </c>
      <c r="C2" s="111" t="s">
        <v>359</v>
      </c>
      <c r="D2" s="111" t="s">
        <v>2</v>
      </c>
      <c r="E2" s="111" t="s">
        <v>55</v>
      </c>
      <c r="F2" s="112" t="s">
        <v>3</v>
      </c>
      <c r="G2" s="111" t="s">
        <v>4</v>
      </c>
      <c r="H2" s="111" t="s">
        <v>5</v>
      </c>
      <c r="I2" s="111" t="s">
        <v>6</v>
      </c>
      <c r="J2" s="111" t="s">
        <v>81</v>
      </c>
      <c r="K2" s="113" t="s">
        <v>79</v>
      </c>
      <c r="L2" s="114" t="s">
        <v>82</v>
      </c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</row>
    <row r="3" spans="1:38" s="52" customFormat="1" x14ac:dyDescent="0.3">
      <c r="A3" s="115" t="s">
        <v>264</v>
      </c>
      <c r="B3" s="28" t="s">
        <v>233</v>
      </c>
      <c r="C3" s="28" t="s">
        <v>355</v>
      </c>
      <c r="D3" s="28" t="s">
        <v>279</v>
      </c>
      <c r="E3" s="29">
        <f t="shared" ref="E3:E14" ca="1" si="0">RANDBETWEEN(DATE(2007,1,1),DATE(2007,12,31))</f>
        <v>39391</v>
      </c>
      <c r="F3" s="30" t="s">
        <v>123</v>
      </c>
      <c r="G3" s="31" t="s">
        <v>251</v>
      </c>
      <c r="H3" s="31" t="s">
        <v>30</v>
      </c>
      <c r="I3" s="31" t="s">
        <v>295</v>
      </c>
      <c r="J3" s="28" t="str">
        <f t="shared" ref="J3:J14" si="1">IF(I3="Football","$120",IF(I3="Basketball","$200",IF(I3="Netball","$225",IF(I3="Hockey","$275",IF(I3="Swimming","$350")))))</f>
        <v>$275</v>
      </c>
      <c r="K3" s="28" t="s">
        <v>80</v>
      </c>
      <c r="L3" s="116">
        <f>IF(K4="Full",J4*Dataset!$D$3*0.9,IF(K4="Installment",J4*Dataset!$D$3*1.15))</f>
        <v>2530</v>
      </c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</row>
    <row r="4" spans="1:38" s="52" customFormat="1" x14ac:dyDescent="0.3">
      <c r="A4" s="115" t="s">
        <v>265</v>
      </c>
      <c r="B4" s="28" t="s">
        <v>234</v>
      </c>
      <c r="C4" s="28" t="s">
        <v>354</v>
      </c>
      <c r="D4" s="28" t="s">
        <v>280</v>
      </c>
      <c r="E4" s="29">
        <f t="shared" ca="1" si="0"/>
        <v>39380</v>
      </c>
      <c r="F4" s="30" t="s">
        <v>124</v>
      </c>
      <c r="G4" s="31" t="s">
        <v>252</v>
      </c>
      <c r="H4" s="31" t="s">
        <v>13</v>
      </c>
      <c r="I4" s="31" t="s">
        <v>295</v>
      </c>
      <c r="J4" s="28" t="str">
        <f t="shared" si="1"/>
        <v>$275</v>
      </c>
      <c r="K4" s="28" t="s">
        <v>80</v>
      </c>
      <c r="L4" s="116">
        <f>IF(K5="Full",J5*Dataset!$D$3*0.9,IF(K5="Installment",J5*Dataset!$D$3*1.15))</f>
        <v>1980</v>
      </c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</row>
    <row r="5" spans="1:38" s="52" customFormat="1" x14ac:dyDescent="0.3">
      <c r="A5" s="115" t="s">
        <v>267</v>
      </c>
      <c r="B5" s="28" t="s">
        <v>236</v>
      </c>
      <c r="C5" s="28" t="s">
        <v>355</v>
      </c>
      <c r="D5" s="28" t="s">
        <v>282</v>
      </c>
      <c r="E5" s="29">
        <f t="shared" ca="1" si="0"/>
        <v>39407</v>
      </c>
      <c r="F5" s="30" t="s">
        <v>126</v>
      </c>
      <c r="G5" s="31" t="s">
        <v>254</v>
      </c>
      <c r="H5" s="31" t="s">
        <v>30</v>
      </c>
      <c r="I5" s="31" t="s">
        <v>295</v>
      </c>
      <c r="J5" s="28" t="str">
        <f t="shared" si="1"/>
        <v>$275</v>
      </c>
      <c r="K5" s="28" t="s">
        <v>197</v>
      </c>
      <c r="L5" s="116">
        <f>IF(K6="Full",J6*Dataset!$D$3*0.9,IF(K6="Installment",J6*Dataset!$D$3*1.15))</f>
        <v>2530</v>
      </c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</row>
    <row r="6" spans="1:38" s="52" customFormat="1" x14ac:dyDescent="0.3">
      <c r="A6" s="115" t="s">
        <v>268</v>
      </c>
      <c r="B6" s="28" t="s">
        <v>237</v>
      </c>
      <c r="C6" s="28" t="s">
        <v>355</v>
      </c>
      <c r="D6" s="28" t="s">
        <v>283</v>
      </c>
      <c r="E6" s="29">
        <f t="shared" ca="1" si="0"/>
        <v>39340</v>
      </c>
      <c r="F6" s="30" t="s">
        <v>127</v>
      </c>
      <c r="G6" s="31" t="s">
        <v>255</v>
      </c>
      <c r="H6" s="31" t="s">
        <v>13</v>
      </c>
      <c r="I6" s="31" t="s">
        <v>295</v>
      </c>
      <c r="J6" s="28" t="str">
        <f t="shared" si="1"/>
        <v>$275</v>
      </c>
      <c r="K6" s="28" t="s">
        <v>80</v>
      </c>
      <c r="L6" s="116">
        <f>IF(K7="Full",J7*Dataset!$D$3*0.9,IF(K7="Installment",J7*Dataset!$D$3*1.15))</f>
        <v>1980</v>
      </c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</row>
    <row r="7" spans="1:38" s="52" customFormat="1" x14ac:dyDescent="0.3">
      <c r="A7" s="115" t="s">
        <v>270</v>
      </c>
      <c r="B7" s="28" t="s">
        <v>239</v>
      </c>
      <c r="C7" s="28" t="s">
        <v>355</v>
      </c>
      <c r="D7" s="28" t="s">
        <v>285</v>
      </c>
      <c r="E7" s="29">
        <f t="shared" ca="1" si="0"/>
        <v>39122</v>
      </c>
      <c r="F7" s="30" t="s">
        <v>129</v>
      </c>
      <c r="G7" s="31" t="s">
        <v>257</v>
      </c>
      <c r="H7" s="31" t="s">
        <v>30</v>
      </c>
      <c r="I7" s="31" t="s">
        <v>295</v>
      </c>
      <c r="J7" s="28" t="str">
        <f t="shared" si="1"/>
        <v>$275</v>
      </c>
      <c r="K7" s="28" t="s">
        <v>197</v>
      </c>
      <c r="L7" s="116">
        <f>IF(K8="Full",J8*Dataset!$D$3*0.9,IF(K8="Installment",J8*Dataset!$D$3*1.15))</f>
        <v>2530</v>
      </c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</row>
    <row r="8" spans="1:38" s="52" customFormat="1" x14ac:dyDescent="0.3">
      <c r="A8" s="115" t="s">
        <v>271</v>
      </c>
      <c r="B8" s="28" t="s">
        <v>240</v>
      </c>
      <c r="C8" s="28" t="s">
        <v>355</v>
      </c>
      <c r="D8" s="28" t="s">
        <v>286</v>
      </c>
      <c r="E8" s="29">
        <f t="shared" ca="1" si="0"/>
        <v>39195</v>
      </c>
      <c r="F8" s="30" t="s">
        <v>130</v>
      </c>
      <c r="G8" s="31" t="s">
        <v>258</v>
      </c>
      <c r="H8" s="31" t="s">
        <v>13</v>
      </c>
      <c r="I8" s="31" t="s">
        <v>295</v>
      </c>
      <c r="J8" s="28" t="str">
        <f t="shared" si="1"/>
        <v>$275</v>
      </c>
      <c r="K8" s="28" t="s">
        <v>80</v>
      </c>
      <c r="L8" s="116">
        <f>IF(K9="Full",J9*Dataset!$D$3*0.9,IF(K9="Installment",J9*Dataset!$D$3*1.15))</f>
        <v>2530</v>
      </c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</row>
    <row r="9" spans="1:38" s="52" customFormat="1" x14ac:dyDescent="0.3">
      <c r="A9" s="115" t="s">
        <v>266</v>
      </c>
      <c r="B9" s="28" t="s">
        <v>235</v>
      </c>
      <c r="C9" s="28" t="s">
        <v>354</v>
      </c>
      <c r="D9" s="28" t="s">
        <v>281</v>
      </c>
      <c r="E9" s="29">
        <f t="shared" ca="1" si="0"/>
        <v>39265</v>
      </c>
      <c r="F9" s="30" t="s">
        <v>125</v>
      </c>
      <c r="G9" s="31" t="s">
        <v>253</v>
      </c>
      <c r="H9" s="31" t="s">
        <v>19</v>
      </c>
      <c r="I9" s="31" t="s">
        <v>295</v>
      </c>
      <c r="J9" s="28" t="str">
        <f t="shared" si="1"/>
        <v>$275</v>
      </c>
      <c r="K9" s="28" t="s">
        <v>80</v>
      </c>
      <c r="L9" s="116">
        <f>IF(K10="Full",J10*Dataset!$D$3*0.9,IF(K10="Installment",J10*Dataset!$D$3*1.15))</f>
        <v>2530</v>
      </c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</row>
    <row r="10" spans="1:38" s="52" customFormat="1" x14ac:dyDescent="0.3">
      <c r="A10" s="115" t="s">
        <v>269</v>
      </c>
      <c r="B10" s="28" t="s">
        <v>238</v>
      </c>
      <c r="C10" s="28" t="s">
        <v>354</v>
      </c>
      <c r="D10" s="28" t="s">
        <v>284</v>
      </c>
      <c r="E10" s="29">
        <f t="shared" ca="1" si="0"/>
        <v>39150</v>
      </c>
      <c r="F10" s="30" t="s">
        <v>128</v>
      </c>
      <c r="G10" s="31" t="s">
        <v>256</v>
      </c>
      <c r="H10" s="31" t="s">
        <v>13</v>
      </c>
      <c r="I10" s="31" t="s">
        <v>295</v>
      </c>
      <c r="J10" s="28" t="str">
        <f t="shared" si="1"/>
        <v>$275</v>
      </c>
      <c r="K10" s="28" t="s">
        <v>80</v>
      </c>
      <c r="L10" s="116">
        <f>IF(K11="Full",J11*Dataset!$D$3*0.9,IF(K11="Installment",J11*Dataset!$D$3*1.15))</f>
        <v>2530</v>
      </c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</row>
    <row r="11" spans="1:38" s="52" customFormat="1" x14ac:dyDescent="0.3">
      <c r="A11" s="115" t="s">
        <v>272</v>
      </c>
      <c r="B11" s="28" t="s">
        <v>241</v>
      </c>
      <c r="C11" s="28" t="s">
        <v>355</v>
      </c>
      <c r="D11" s="28" t="s">
        <v>287</v>
      </c>
      <c r="E11" s="29">
        <f t="shared" ca="1" si="0"/>
        <v>39443</v>
      </c>
      <c r="F11" s="30" t="s">
        <v>131</v>
      </c>
      <c r="G11" s="31" t="s">
        <v>259</v>
      </c>
      <c r="H11" s="31" t="s">
        <v>30</v>
      </c>
      <c r="I11" s="31" t="s">
        <v>295</v>
      </c>
      <c r="J11" s="28" t="str">
        <f t="shared" si="1"/>
        <v>$275</v>
      </c>
      <c r="K11" s="28" t="s">
        <v>80</v>
      </c>
      <c r="L11" s="116">
        <f>IF(K12="Full",J12*Dataset!$D$3*0.9,IF(K12="Installment",J12*Dataset!$D$3*1.15))</f>
        <v>1980</v>
      </c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</row>
    <row r="12" spans="1:38" s="52" customFormat="1" x14ac:dyDescent="0.3">
      <c r="A12" s="115" t="s">
        <v>273</v>
      </c>
      <c r="B12" s="28" t="s">
        <v>242</v>
      </c>
      <c r="C12" s="28" t="s">
        <v>355</v>
      </c>
      <c r="D12" s="28" t="s">
        <v>288</v>
      </c>
      <c r="E12" s="29">
        <f t="shared" ca="1" si="0"/>
        <v>39122</v>
      </c>
      <c r="F12" s="30" t="s">
        <v>132</v>
      </c>
      <c r="G12" s="31" t="s">
        <v>260</v>
      </c>
      <c r="H12" s="31" t="s">
        <v>13</v>
      </c>
      <c r="I12" s="31" t="s">
        <v>295</v>
      </c>
      <c r="J12" s="28" t="str">
        <f t="shared" si="1"/>
        <v>$275</v>
      </c>
      <c r="K12" s="28" t="s">
        <v>197</v>
      </c>
      <c r="L12" s="116">
        <f>IF(K13="Full",J13*Dataset!$D$3*0.9,IF(K13="Installment",J13*Dataset!$D$3*1.15))</f>
        <v>1980</v>
      </c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</row>
    <row r="13" spans="1:38" s="52" customFormat="1" x14ac:dyDescent="0.3">
      <c r="A13" s="115" t="s">
        <v>274</v>
      </c>
      <c r="B13" s="28" t="s">
        <v>243</v>
      </c>
      <c r="C13" s="28" t="s">
        <v>354</v>
      </c>
      <c r="D13" s="28" t="s">
        <v>289</v>
      </c>
      <c r="E13" s="29">
        <f t="shared" ca="1" si="0"/>
        <v>39325</v>
      </c>
      <c r="F13" s="30" t="s">
        <v>133</v>
      </c>
      <c r="G13" s="31" t="s">
        <v>261</v>
      </c>
      <c r="H13" s="31" t="s">
        <v>19</v>
      </c>
      <c r="I13" s="31" t="s">
        <v>295</v>
      </c>
      <c r="J13" s="28" t="str">
        <f t="shared" si="1"/>
        <v>$275</v>
      </c>
      <c r="K13" s="28" t="s">
        <v>197</v>
      </c>
      <c r="L13" s="116">
        <f>IF(K14="Full",J14*Dataset!$D$3*0.9,IF(K14="Installment",J14*Dataset!$D$3*1.15))</f>
        <v>1980</v>
      </c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</row>
    <row r="14" spans="1:38" s="52" customFormat="1" x14ac:dyDescent="0.3">
      <c r="A14" s="115" t="s">
        <v>275</v>
      </c>
      <c r="B14" s="28" t="s">
        <v>244</v>
      </c>
      <c r="C14" s="28" t="s">
        <v>355</v>
      </c>
      <c r="D14" s="28" t="s">
        <v>290</v>
      </c>
      <c r="E14" s="29">
        <f t="shared" ca="1" si="0"/>
        <v>39389</v>
      </c>
      <c r="F14" s="30" t="s">
        <v>134</v>
      </c>
      <c r="G14" s="31" t="s">
        <v>262</v>
      </c>
      <c r="H14" s="31" t="s">
        <v>19</v>
      </c>
      <c r="I14" s="31" t="s">
        <v>295</v>
      </c>
      <c r="J14" s="28" t="str">
        <f t="shared" si="1"/>
        <v>$275</v>
      </c>
      <c r="K14" s="28" t="s">
        <v>197</v>
      </c>
      <c r="L14" s="116">
        <f>IF(K14="Full",J14*Dataset!$D$3*0.9,IF(K14="Installment",J14*Dataset!$D$3*1.15))</f>
        <v>1980</v>
      </c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</row>
    <row r="15" spans="1:38" s="52" customFormat="1" x14ac:dyDescent="0.3">
      <c r="A15" s="115"/>
      <c r="B15" s="28"/>
      <c r="C15" s="28"/>
      <c r="D15" s="28"/>
      <c r="E15" s="28"/>
      <c r="F15" s="28"/>
      <c r="G15" s="28"/>
      <c r="H15" s="28"/>
      <c r="I15" s="28"/>
      <c r="J15" s="28"/>
      <c r="K15" s="4" t="s">
        <v>83</v>
      </c>
      <c r="L15" s="116">
        <f>SUM(L4:L14)</f>
        <v>24530</v>
      </c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</row>
    <row r="16" spans="1:38" s="53" customFormat="1" ht="15" thickBot="1" x14ac:dyDescent="0.35">
      <c r="A16" s="117"/>
      <c r="B16" s="118"/>
      <c r="C16" s="118"/>
      <c r="D16" s="118"/>
      <c r="E16" s="118"/>
      <c r="F16" s="118"/>
      <c r="G16" s="118"/>
      <c r="H16" s="119" t="s">
        <v>84</v>
      </c>
      <c r="I16" s="118">
        <f>COUNTA(A3:A14)</f>
        <v>12</v>
      </c>
      <c r="J16" s="118"/>
      <c r="K16" s="118"/>
      <c r="L16" s="120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</row>
    <row r="17" ht="15" thickTop="1" x14ac:dyDescent="0.3"/>
  </sheetData>
  <sortState ref="A3:L14">
    <sortCondition descending="1" ref="L3:L14"/>
  </sortState>
  <mergeCells count="1">
    <mergeCell ref="A1:L1"/>
  </mergeCells>
  <dataValidations count="1">
    <dataValidation type="date" allowBlank="1" showInputMessage="1" showErrorMessage="1" sqref="E1:E1048576">
      <formula1>38718</formula1>
      <formula2>39812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Dataset!$A$3:$A$4</xm:f>
          </x14:formula1>
          <xm:sqref>C1:C1048576</xm:sqref>
        </x14:dataValidation>
        <x14:dataValidation type="list" allowBlank="1" showInputMessage="1" showErrorMessage="1">
          <x14:formula1>
            <xm:f>Dataset!$C$3:$C$5</xm:f>
          </x14:formula1>
          <xm:sqref>H1:H1048576</xm:sqref>
        </x14:dataValidation>
        <x14:dataValidation type="list" allowBlank="1" showInputMessage="1" showErrorMessage="1">
          <x14:formula1>
            <xm:f>Dataset!$E$3:$E$4</xm:f>
          </x14:formula1>
          <xm:sqref>K1:K1048576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18"/>
  <sheetViews>
    <sheetView workbookViewId="0">
      <selection activeCell="A2" sqref="A2:L15"/>
    </sheetView>
  </sheetViews>
  <sheetFormatPr defaultRowHeight="14.4" x14ac:dyDescent="0.3"/>
  <cols>
    <col min="1" max="1" width="18.109375" customWidth="1"/>
    <col min="2" max="2" width="11" customWidth="1"/>
    <col min="3" max="3" width="7.88671875" bestFit="1" customWidth="1"/>
    <col min="4" max="4" width="18.44140625" customWidth="1"/>
    <col min="5" max="5" width="25" customWidth="1"/>
    <col min="6" max="6" width="59.109375" customWidth="1"/>
    <col min="7" max="7" width="20.109375" customWidth="1"/>
    <col min="8" max="8" width="18.109375" customWidth="1"/>
    <col min="9" max="9" width="9.33203125" customWidth="1"/>
    <col min="10" max="10" width="17" customWidth="1"/>
    <col min="11" max="11" width="18.44140625" customWidth="1"/>
    <col min="12" max="12" width="13.88671875" customWidth="1"/>
  </cols>
  <sheetData>
    <row r="1" spans="1:76" ht="20.399999999999999" thickBot="1" x14ac:dyDescent="0.45">
      <c r="A1" s="163" t="s">
        <v>304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</row>
    <row r="2" spans="1:76" s="57" customFormat="1" ht="16.2" thickTop="1" x14ac:dyDescent="0.3">
      <c r="A2" s="74" t="s">
        <v>0</v>
      </c>
      <c r="B2" s="75" t="s">
        <v>1</v>
      </c>
      <c r="C2" s="75" t="s">
        <v>359</v>
      </c>
      <c r="D2" s="75" t="s">
        <v>2</v>
      </c>
      <c r="E2" s="75" t="s">
        <v>55</v>
      </c>
      <c r="F2" s="76" t="s">
        <v>3</v>
      </c>
      <c r="G2" s="75" t="s">
        <v>4</v>
      </c>
      <c r="H2" s="75" t="s">
        <v>5</v>
      </c>
      <c r="I2" s="75" t="s">
        <v>6</v>
      </c>
      <c r="J2" s="75" t="s">
        <v>81</v>
      </c>
      <c r="K2" s="77" t="s">
        <v>79</v>
      </c>
      <c r="L2" s="78" t="s">
        <v>82</v>
      </c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</row>
    <row r="3" spans="1:76" s="52" customFormat="1" x14ac:dyDescent="0.3">
      <c r="A3" s="79" t="s">
        <v>276</v>
      </c>
      <c r="B3" s="15" t="s">
        <v>245</v>
      </c>
      <c r="C3" s="15" t="s">
        <v>354</v>
      </c>
      <c r="D3" s="15" t="s">
        <v>291</v>
      </c>
      <c r="E3" s="14">
        <f t="shared" ref="E3:E15" ca="1" si="0">RANDBETWEEN(DATE(2007,1,1),DATE(2007,12,31))</f>
        <v>39412</v>
      </c>
      <c r="F3" s="17" t="s">
        <v>135</v>
      </c>
      <c r="G3" s="13" t="s">
        <v>263</v>
      </c>
      <c r="H3" s="13" t="s">
        <v>13</v>
      </c>
      <c r="I3" s="13" t="s">
        <v>304</v>
      </c>
      <c r="J3" s="15" t="str">
        <f t="shared" ref="J3:J15" si="1">IF(I3="Football","$120",IF(I3="Basketball","$200",IF(I3="Netball","$225",IF(I3="Hockey","$275",IF(I3="Swimming","$350")))))</f>
        <v>$350</v>
      </c>
      <c r="K3" s="15" t="s">
        <v>80</v>
      </c>
      <c r="L3" s="80">
        <f>IF(K3="Full",J3*Dataset!$D$3*0.9,IF(K3="Installment",J3*Dataset!$D$3*1.15))</f>
        <v>3219.9999999999995</v>
      </c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</row>
    <row r="4" spans="1:76" s="52" customFormat="1" x14ac:dyDescent="0.3">
      <c r="A4" s="79" t="s">
        <v>21</v>
      </c>
      <c r="B4" s="15" t="s">
        <v>246</v>
      </c>
      <c r="C4" s="15" t="s">
        <v>355</v>
      </c>
      <c r="D4" s="15" t="s">
        <v>292</v>
      </c>
      <c r="E4" s="14">
        <f t="shared" ca="1" si="0"/>
        <v>39361</v>
      </c>
      <c r="F4" s="17" t="s">
        <v>136</v>
      </c>
      <c r="G4" s="16" t="s">
        <v>296</v>
      </c>
      <c r="H4" s="13" t="s">
        <v>30</v>
      </c>
      <c r="I4" s="13" t="s">
        <v>304</v>
      </c>
      <c r="J4" s="15" t="str">
        <f t="shared" si="1"/>
        <v>$350</v>
      </c>
      <c r="K4" s="15" t="s">
        <v>80</v>
      </c>
      <c r="L4" s="80">
        <f>IF(K4="Full",J4*Dataset!$D$3*0.9,IF(K4="Installment",J4*Dataset!$D$3*1.15))</f>
        <v>3219.9999999999995</v>
      </c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</row>
    <row r="5" spans="1:76" s="52" customFormat="1" x14ac:dyDescent="0.3">
      <c r="A5" s="79" t="s">
        <v>277</v>
      </c>
      <c r="B5" s="15" t="s">
        <v>247</v>
      </c>
      <c r="C5" s="15" t="s">
        <v>355</v>
      </c>
      <c r="D5" s="15" t="s">
        <v>293</v>
      </c>
      <c r="E5" s="14">
        <f t="shared" ca="1" si="0"/>
        <v>39141</v>
      </c>
      <c r="F5" s="17" t="s">
        <v>137</v>
      </c>
      <c r="G5" s="13" t="s">
        <v>297</v>
      </c>
      <c r="H5" s="13" t="s">
        <v>13</v>
      </c>
      <c r="I5" s="13" t="s">
        <v>304</v>
      </c>
      <c r="J5" s="15" t="str">
        <f t="shared" si="1"/>
        <v>$350</v>
      </c>
      <c r="K5" s="15" t="s">
        <v>80</v>
      </c>
      <c r="L5" s="80">
        <f>IF(K5="Full",J5*Dataset!$D$3*0.9,IF(K5="Installment",J5*Dataset!$D$3*1.15))</f>
        <v>3219.9999999999995</v>
      </c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</row>
    <row r="6" spans="1:76" s="52" customFormat="1" x14ac:dyDescent="0.3">
      <c r="A6" s="79" t="s">
        <v>278</v>
      </c>
      <c r="B6" s="15" t="s">
        <v>248</v>
      </c>
      <c r="C6" s="15" t="s">
        <v>354</v>
      </c>
      <c r="D6" s="15" t="s">
        <v>294</v>
      </c>
      <c r="E6" s="14">
        <f t="shared" ca="1" si="0"/>
        <v>39348</v>
      </c>
      <c r="F6" s="17" t="s">
        <v>138</v>
      </c>
      <c r="G6" s="13" t="s">
        <v>298</v>
      </c>
      <c r="H6" s="13" t="s">
        <v>19</v>
      </c>
      <c r="I6" s="13" t="s">
        <v>304</v>
      </c>
      <c r="J6" s="15" t="str">
        <f t="shared" si="1"/>
        <v>$350</v>
      </c>
      <c r="K6" s="15" t="s">
        <v>197</v>
      </c>
      <c r="L6" s="80">
        <f>IF(K6="Full",J6*Dataset!$D$3*0.9,IF(K6="Installment",J6*Dataset!$D$3*1.15))</f>
        <v>2520</v>
      </c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</row>
    <row r="7" spans="1:76" s="52" customFormat="1" x14ac:dyDescent="0.3">
      <c r="A7" s="79" t="s">
        <v>314</v>
      </c>
      <c r="B7" s="15" t="s">
        <v>322</v>
      </c>
      <c r="C7" s="15" t="s">
        <v>355</v>
      </c>
      <c r="D7" s="15" t="s">
        <v>331</v>
      </c>
      <c r="E7" s="14">
        <f t="shared" ca="1" si="0"/>
        <v>39383</v>
      </c>
      <c r="F7" s="17" t="s">
        <v>139</v>
      </c>
      <c r="G7" s="13" t="s">
        <v>299</v>
      </c>
      <c r="H7" s="13" t="s">
        <v>30</v>
      </c>
      <c r="I7" s="13" t="s">
        <v>304</v>
      </c>
      <c r="J7" s="15" t="str">
        <f t="shared" si="1"/>
        <v>$350</v>
      </c>
      <c r="K7" s="15" t="s">
        <v>197</v>
      </c>
      <c r="L7" s="80">
        <f>IF(K7="Full",J7*Dataset!$D$3*0.9,IF(K7="Installment",J7*Dataset!$D$3*1.15))</f>
        <v>2520</v>
      </c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</row>
    <row r="8" spans="1:76" s="52" customFormat="1" x14ac:dyDescent="0.3">
      <c r="A8" s="79" t="s">
        <v>315</v>
      </c>
      <c r="B8" s="15" t="s">
        <v>323</v>
      </c>
      <c r="C8" s="15" t="s">
        <v>354</v>
      </c>
      <c r="D8" s="15" t="s">
        <v>332</v>
      </c>
      <c r="E8" s="14">
        <f t="shared" ca="1" si="0"/>
        <v>39379</v>
      </c>
      <c r="F8" s="17" t="s">
        <v>140</v>
      </c>
      <c r="G8" s="13" t="s">
        <v>300</v>
      </c>
      <c r="H8" s="13" t="s">
        <v>13</v>
      </c>
      <c r="I8" s="13" t="s">
        <v>304</v>
      </c>
      <c r="J8" s="15" t="str">
        <f t="shared" si="1"/>
        <v>$350</v>
      </c>
      <c r="K8" s="15" t="s">
        <v>80</v>
      </c>
      <c r="L8" s="80">
        <f>IF(K8="Full",J8*Dataset!$D$3*0.9,IF(K8="Installment",J8*Dataset!$D$3*1.15))</f>
        <v>3219.9999999999995</v>
      </c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</row>
    <row r="9" spans="1:76" s="52" customFormat="1" x14ac:dyDescent="0.3">
      <c r="A9" s="79" t="s">
        <v>316</v>
      </c>
      <c r="B9" s="15" t="s">
        <v>324</v>
      </c>
      <c r="C9" s="15" t="s">
        <v>354</v>
      </c>
      <c r="D9" s="15" t="s">
        <v>333</v>
      </c>
      <c r="E9" s="14">
        <f t="shared" ca="1" si="0"/>
        <v>39196</v>
      </c>
      <c r="F9" s="17" t="s">
        <v>141</v>
      </c>
      <c r="G9" s="13" t="s">
        <v>301</v>
      </c>
      <c r="H9" s="13" t="s">
        <v>30</v>
      </c>
      <c r="I9" s="13" t="s">
        <v>304</v>
      </c>
      <c r="J9" s="15" t="str">
        <f t="shared" si="1"/>
        <v>$350</v>
      </c>
      <c r="K9" s="15" t="s">
        <v>80</v>
      </c>
      <c r="L9" s="80">
        <f>IF(K9="Full",J9*Dataset!$D$3*0.9,IF(K9="Installment",J9*Dataset!$D$3*1.15))</f>
        <v>3219.9999999999995</v>
      </c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</row>
    <row r="10" spans="1:76" s="52" customFormat="1" x14ac:dyDescent="0.3">
      <c r="A10" s="79" t="s">
        <v>317</v>
      </c>
      <c r="B10" s="15" t="s">
        <v>325</v>
      </c>
      <c r="C10" s="15" t="s">
        <v>354</v>
      </c>
      <c r="D10" s="15" t="s">
        <v>334</v>
      </c>
      <c r="E10" s="14">
        <f t="shared" ca="1" si="0"/>
        <v>39299</v>
      </c>
      <c r="F10" s="17" t="s">
        <v>142</v>
      </c>
      <c r="G10" s="13" t="s">
        <v>302</v>
      </c>
      <c r="H10" s="13" t="s">
        <v>19</v>
      </c>
      <c r="I10" s="13" t="s">
        <v>304</v>
      </c>
      <c r="J10" s="15" t="str">
        <f t="shared" si="1"/>
        <v>$350</v>
      </c>
      <c r="K10" s="15" t="s">
        <v>80</v>
      </c>
      <c r="L10" s="80">
        <f>IF(K10="Full",J10*Dataset!$D$3*0.9,IF(K10="Installment",J10*Dataset!$D$3*1.15))</f>
        <v>3219.9999999999995</v>
      </c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</row>
    <row r="11" spans="1:76" s="52" customFormat="1" x14ac:dyDescent="0.3">
      <c r="A11" s="79" t="s">
        <v>274</v>
      </c>
      <c r="B11" s="15" t="s">
        <v>326</v>
      </c>
      <c r="C11" s="15" t="s">
        <v>355</v>
      </c>
      <c r="D11" s="15" t="s">
        <v>335</v>
      </c>
      <c r="E11" s="14">
        <f t="shared" ca="1" si="0"/>
        <v>39229</v>
      </c>
      <c r="F11" s="32" t="s">
        <v>309</v>
      </c>
      <c r="G11" s="13" t="s">
        <v>303</v>
      </c>
      <c r="H11" s="13" t="s">
        <v>19</v>
      </c>
      <c r="I11" s="13" t="s">
        <v>304</v>
      </c>
      <c r="J11" s="15" t="str">
        <f t="shared" si="1"/>
        <v>$350</v>
      </c>
      <c r="K11" s="15" t="s">
        <v>197</v>
      </c>
      <c r="L11" s="80">
        <f>IF(K11="Full",J11*Dataset!$D$3*0.9,IF(K11="Installment",J11*Dataset!$D$3*1.15))</f>
        <v>2520</v>
      </c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</row>
    <row r="12" spans="1:76" s="52" customFormat="1" x14ac:dyDescent="0.3">
      <c r="A12" s="79" t="s">
        <v>318</v>
      </c>
      <c r="B12" s="15" t="s">
        <v>327</v>
      </c>
      <c r="C12" s="15" t="s">
        <v>354</v>
      </c>
      <c r="D12" s="15" t="s">
        <v>336</v>
      </c>
      <c r="E12" s="14">
        <f t="shared" ca="1" si="0"/>
        <v>39394</v>
      </c>
      <c r="F12" s="32" t="s">
        <v>310</v>
      </c>
      <c r="G12" s="13" t="s">
        <v>305</v>
      </c>
      <c r="H12" s="13" t="s">
        <v>13</v>
      </c>
      <c r="I12" s="13" t="s">
        <v>304</v>
      </c>
      <c r="J12" s="15" t="str">
        <f t="shared" si="1"/>
        <v>$350</v>
      </c>
      <c r="K12" s="15" t="s">
        <v>80</v>
      </c>
      <c r="L12" s="80">
        <f>IF(K12="Full",J12*Dataset!$D$3*0.9,IF(K12="Installment",J12*Dataset!$D$3*1.15))</f>
        <v>3219.9999999999995</v>
      </c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</row>
    <row r="13" spans="1:76" s="52" customFormat="1" x14ac:dyDescent="0.3">
      <c r="A13" s="79" t="s">
        <v>319</v>
      </c>
      <c r="B13" s="15" t="s">
        <v>328</v>
      </c>
      <c r="C13" s="15" t="s">
        <v>355</v>
      </c>
      <c r="D13" s="15" t="s">
        <v>337</v>
      </c>
      <c r="E13" s="14">
        <f t="shared" ca="1" si="0"/>
        <v>39108</v>
      </c>
      <c r="F13" s="32" t="s">
        <v>311</v>
      </c>
      <c r="G13" s="13" t="s">
        <v>306</v>
      </c>
      <c r="H13" s="13" t="s">
        <v>13</v>
      </c>
      <c r="I13" s="13" t="s">
        <v>304</v>
      </c>
      <c r="J13" s="15" t="str">
        <f t="shared" si="1"/>
        <v>$350</v>
      </c>
      <c r="K13" s="15" t="s">
        <v>197</v>
      </c>
      <c r="L13" s="80">
        <f>IF(K13="Full",J13*Dataset!$D$3*0.9,IF(K13="Installment",J13*Dataset!$D$3*1.15))</f>
        <v>2520</v>
      </c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</row>
    <row r="14" spans="1:76" s="52" customFormat="1" x14ac:dyDescent="0.3">
      <c r="A14" s="79" t="s">
        <v>320</v>
      </c>
      <c r="B14" s="15" t="s">
        <v>329</v>
      </c>
      <c r="C14" s="15" t="s">
        <v>355</v>
      </c>
      <c r="D14" s="15" t="s">
        <v>338</v>
      </c>
      <c r="E14" s="14">
        <f t="shared" ca="1" si="0"/>
        <v>39150</v>
      </c>
      <c r="F14" s="32" t="s">
        <v>312</v>
      </c>
      <c r="G14" s="13" t="s">
        <v>307</v>
      </c>
      <c r="H14" s="13" t="s">
        <v>30</v>
      </c>
      <c r="I14" s="13" t="s">
        <v>304</v>
      </c>
      <c r="J14" s="15" t="str">
        <f t="shared" si="1"/>
        <v>$350</v>
      </c>
      <c r="K14" s="15" t="s">
        <v>80</v>
      </c>
      <c r="L14" s="80">
        <f>IF(K14="Full",J14*Dataset!$D$3*0.9,IF(K14="Installment",J14*Dataset!$D$3*1.15))</f>
        <v>3219.9999999999995</v>
      </c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</row>
    <row r="15" spans="1:76" s="52" customFormat="1" x14ac:dyDescent="0.3">
      <c r="A15" s="79" t="s">
        <v>321</v>
      </c>
      <c r="B15" s="15" t="s">
        <v>330</v>
      </c>
      <c r="C15" s="15" t="s">
        <v>354</v>
      </c>
      <c r="D15" s="15" t="s">
        <v>339</v>
      </c>
      <c r="E15" s="14">
        <f t="shared" ca="1" si="0"/>
        <v>39321</v>
      </c>
      <c r="F15" s="32" t="s">
        <v>313</v>
      </c>
      <c r="G15" s="13" t="s">
        <v>308</v>
      </c>
      <c r="H15" s="13" t="s">
        <v>19</v>
      </c>
      <c r="I15" s="13" t="s">
        <v>304</v>
      </c>
      <c r="J15" s="15" t="str">
        <f t="shared" si="1"/>
        <v>$350</v>
      </c>
      <c r="K15" s="15" t="s">
        <v>197</v>
      </c>
      <c r="L15" s="80">
        <f>IF(K15="Full",J15*Dataset!$D$3*0.9,IF(K15="Installment",J15*Dataset!$D$3*1.15))</f>
        <v>2520</v>
      </c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</row>
    <row r="16" spans="1:76" s="52" customFormat="1" x14ac:dyDescent="0.3">
      <c r="A16" s="79"/>
      <c r="B16" s="15"/>
      <c r="C16" s="15"/>
      <c r="D16" s="15"/>
      <c r="E16" s="15"/>
      <c r="F16" s="15"/>
      <c r="G16" s="15"/>
      <c r="H16" s="15"/>
      <c r="I16" s="15"/>
      <c r="J16" s="15"/>
      <c r="K16" s="5" t="s">
        <v>83</v>
      </c>
      <c r="L16" s="80">
        <f>SUM(L3:L15)</f>
        <v>38359.999999999993</v>
      </c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</row>
    <row r="17" spans="1:76" s="53" customFormat="1" ht="15" thickBot="1" x14ac:dyDescent="0.35">
      <c r="A17" s="81"/>
      <c r="B17" s="82"/>
      <c r="C17" s="82"/>
      <c r="D17" s="82"/>
      <c r="E17" s="82"/>
      <c r="F17" s="82"/>
      <c r="G17" s="82"/>
      <c r="H17" s="83" t="s">
        <v>84</v>
      </c>
      <c r="I17" s="82">
        <f>COUNTA(A3:A15)</f>
        <v>13</v>
      </c>
      <c r="J17" s="82"/>
      <c r="K17" s="82"/>
      <c r="L17" s="84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</row>
    <row r="18" spans="1:76" ht="15" thickTop="1" x14ac:dyDescent="0.3"/>
  </sheetData>
  <mergeCells count="1">
    <mergeCell ref="A1:L1"/>
  </mergeCells>
  <dataValidations count="1">
    <dataValidation type="date" allowBlank="1" showInputMessage="1" showErrorMessage="1" sqref="E1:E1048576">
      <formula1>38718</formula1>
      <formula2>39812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Dataset!$A$3:$A$4</xm:f>
          </x14:formula1>
          <xm:sqref>C1:C1048576</xm:sqref>
        </x14:dataValidation>
        <x14:dataValidation type="list" allowBlank="1" showInputMessage="1" showErrorMessage="1">
          <x14:formula1>
            <xm:f>Dataset!$C$3:$C$5</xm:f>
          </x14:formula1>
          <xm:sqref>H1:H1048576</xm:sqref>
        </x14:dataValidation>
        <x14:dataValidation type="list" allowBlank="1" showInputMessage="1" showErrorMessage="1">
          <x14:formula1>
            <xm:f>Dataset!$E$3:$E$4</xm:f>
          </x14:formula1>
          <xm:sqref>K1:K1048576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selection activeCell="B3" sqref="B3"/>
    </sheetView>
  </sheetViews>
  <sheetFormatPr defaultRowHeight="14.4" x14ac:dyDescent="0.3"/>
  <cols>
    <col min="1" max="1" width="10.88671875" customWidth="1"/>
    <col min="2" max="2" width="17.5546875" customWidth="1"/>
    <col min="3" max="3" width="17.33203125" customWidth="1"/>
    <col min="4" max="4" width="25" customWidth="1"/>
    <col min="5" max="5" width="9.77734375" customWidth="1"/>
    <col min="6" max="6" width="20.109375" customWidth="1"/>
    <col min="7" max="7" width="12.77734375" customWidth="1"/>
    <col min="8" max="8" width="11.21875" bestFit="1" customWidth="1"/>
    <col min="9" max="9" width="17" customWidth="1"/>
    <col min="10" max="10" width="15" customWidth="1"/>
    <col min="11" max="11" width="17" customWidth="1"/>
    <col min="12" max="12" width="13.5546875" customWidth="1"/>
    <col min="13" max="13" width="13.88671875" bestFit="1" customWidth="1"/>
  </cols>
  <sheetData>
    <row r="1" spans="1:11" ht="18.600000000000001" thickBot="1" x14ac:dyDescent="0.4">
      <c r="A1" s="164" t="s">
        <v>360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</row>
    <row r="2" spans="1:11" ht="16.2" thickTop="1" x14ac:dyDescent="0.3">
      <c r="A2" s="67" t="s">
        <v>6</v>
      </c>
      <c r="B2" s="68" t="s">
        <v>84</v>
      </c>
      <c r="C2" s="68" t="s">
        <v>340</v>
      </c>
      <c r="D2" s="68" t="s">
        <v>350</v>
      </c>
      <c r="E2" s="68" t="s">
        <v>341</v>
      </c>
      <c r="F2" s="68" t="s">
        <v>351</v>
      </c>
      <c r="G2" s="68" t="s">
        <v>342</v>
      </c>
      <c r="H2" s="68" t="s">
        <v>352</v>
      </c>
      <c r="I2" s="68" t="s">
        <v>353</v>
      </c>
      <c r="J2" s="68" t="s">
        <v>343</v>
      </c>
      <c r="K2" s="69" t="s">
        <v>344</v>
      </c>
    </row>
    <row r="3" spans="1:11" ht="27.6" customHeight="1" x14ac:dyDescent="0.3">
      <c r="A3" s="123" t="str">
        <f>Dataset!B3</f>
        <v>Football</v>
      </c>
      <c r="B3" s="124">
        <f>Football!I20</f>
        <v>15</v>
      </c>
      <c r="C3" s="125">
        <f>Dataset!$G$3</f>
        <v>100</v>
      </c>
      <c r="D3" s="125">
        <f>Dataset!$H$3</f>
        <v>80</v>
      </c>
      <c r="E3" s="125">
        <f>Dataset!$I$3</f>
        <v>190</v>
      </c>
      <c r="F3" s="125">
        <f>Dataset!$J$3</f>
        <v>15</v>
      </c>
      <c r="G3" s="125">
        <f>Dataset!$K$3</f>
        <v>30</v>
      </c>
      <c r="H3" s="125">
        <f>Dataset!$L$3/5</f>
        <v>600</v>
      </c>
      <c r="I3" s="125">
        <f>Dataset!$M$3/5</f>
        <v>360</v>
      </c>
      <c r="J3" s="125">
        <f>SUM(C3:I3)*B3</f>
        <v>20625</v>
      </c>
      <c r="K3" s="126">
        <f>SUM(C3:I3)*B3/Dataset!$D$3</f>
        <v>2578.125</v>
      </c>
    </row>
    <row r="4" spans="1:11" x14ac:dyDescent="0.3">
      <c r="A4" s="127" t="str">
        <f>Dataset!B4</f>
        <v>Basketball</v>
      </c>
      <c r="B4" s="128">
        <f>Basketball!I19</f>
        <v>15</v>
      </c>
      <c r="C4" s="129">
        <v>100</v>
      </c>
      <c r="D4" s="129">
        <f>Dataset!$H$3</f>
        <v>80</v>
      </c>
      <c r="E4" s="129">
        <f>Dataset!$I$3</f>
        <v>190</v>
      </c>
      <c r="F4" s="129">
        <f>Dataset!$J$3</f>
        <v>15</v>
      </c>
      <c r="G4" s="129">
        <f>Dataset!$K$3</f>
        <v>30</v>
      </c>
      <c r="H4" s="129">
        <f>Dataset!$L$3/5</f>
        <v>600</v>
      </c>
      <c r="I4" s="129">
        <f>Dataset!$M$3/5</f>
        <v>360</v>
      </c>
      <c r="J4" s="129">
        <f t="shared" ref="J4:J7" si="0">SUM(C4:I4)*B4</f>
        <v>20625</v>
      </c>
      <c r="K4" s="130">
        <f>SUM(C4:I4)*B4/Dataset!$D$3</f>
        <v>2578.125</v>
      </c>
    </row>
    <row r="5" spans="1:11" x14ac:dyDescent="0.3">
      <c r="A5" s="131" t="str">
        <f>Dataset!B5</f>
        <v>Netball</v>
      </c>
      <c r="B5" s="132">
        <f>Netball!I17</f>
        <v>13</v>
      </c>
      <c r="C5" s="133">
        <v>100</v>
      </c>
      <c r="D5" s="133">
        <f>Dataset!$H$3</f>
        <v>80</v>
      </c>
      <c r="E5" s="133">
        <f>Dataset!$I$3</f>
        <v>190</v>
      </c>
      <c r="F5" s="133">
        <f>Dataset!$J$3</f>
        <v>15</v>
      </c>
      <c r="G5" s="133">
        <f>Dataset!$K$3</f>
        <v>30</v>
      </c>
      <c r="H5" s="133">
        <f>Dataset!$L$3/5</f>
        <v>600</v>
      </c>
      <c r="I5" s="133">
        <f>Dataset!$M$3/5</f>
        <v>360</v>
      </c>
      <c r="J5" s="133">
        <f t="shared" si="0"/>
        <v>17875</v>
      </c>
      <c r="K5" s="134">
        <f>SUM(C5:I5)*B5/Dataset!$D$3</f>
        <v>2234.375</v>
      </c>
    </row>
    <row r="6" spans="1:11" x14ac:dyDescent="0.3">
      <c r="A6" s="135" t="str">
        <f>Dataset!B6</f>
        <v>Hockey</v>
      </c>
      <c r="B6" s="136">
        <f>Hockey!I16</f>
        <v>12</v>
      </c>
      <c r="C6" s="137">
        <v>100</v>
      </c>
      <c r="D6" s="137">
        <f>Dataset!$H$3</f>
        <v>80</v>
      </c>
      <c r="E6" s="158">
        <f>Dataset!$I$3</f>
        <v>190</v>
      </c>
      <c r="F6" s="137">
        <f>Dataset!$J$3</f>
        <v>15</v>
      </c>
      <c r="G6" s="137">
        <f>Dataset!$K$3</f>
        <v>30</v>
      </c>
      <c r="H6" s="137">
        <f>Dataset!$L$3/5</f>
        <v>600</v>
      </c>
      <c r="I6" s="137">
        <f>Dataset!$M$3/5</f>
        <v>360</v>
      </c>
      <c r="J6" s="137">
        <f t="shared" si="0"/>
        <v>16500</v>
      </c>
      <c r="K6" s="138">
        <f>SUM(C6:I6)*B6/Dataset!$D$3</f>
        <v>2062.5</v>
      </c>
    </row>
    <row r="7" spans="1:11" x14ac:dyDescent="0.3">
      <c r="A7" s="139" t="str">
        <f>Dataset!B7</f>
        <v>Swimming</v>
      </c>
      <c r="B7" s="140">
        <f>Swimming!I17</f>
        <v>13</v>
      </c>
      <c r="C7" s="141">
        <v>100</v>
      </c>
      <c r="D7" s="141">
        <f>Dataset!$H$3</f>
        <v>80</v>
      </c>
      <c r="E7" s="141">
        <f>Dataset!$I$3</f>
        <v>190</v>
      </c>
      <c r="F7" s="141">
        <f>Dataset!$J$3</f>
        <v>15</v>
      </c>
      <c r="G7" s="141">
        <f>Dataset!$K$3</f>
        <v>30</v>
      </c>
      <c r="H7" s="141">
        <f>Dataset!$L$3/5</f>
        <v>600</v>
      </c>
      <c r="I7" s="141">
        <f>Dataset!$M$3/5</f>
        <v>360</v>
      </c>
      <c r="J7" s="141">
        <f t="shared" si="0"/>
        <v>17875</v>
      </c>
      <c r="K7" s="142">
        <f>SUM(C7:I7)*B7/Dataset!$D$3</f>
        <v>2234.375</v>
      </c>
    </row>
    <row r="8" spans="1:11" ht="15" thickBot="1" x14ac:dyDescent="0.35">
      <c r="A8" s="70"/>
      <c r="B8" s="71"/>
      <c r="C8" s="71"/>
      <c r="D8" s="71"/>
      <c r="E8" s="71"/>
      <c r="F8" s="71"/>
      <c r="G8" s="71"/>
      <c r="H8" s="71"/>
      <c r="I8" s="71" t="s">
        <v>361</v>
      </c>
      <c r="J8" s="72">
        <f>SUM(J3:J7)</f>
        <v>93500</v>
      </c>
      <c r="K8" s="73">
        <f>SUM(K3:K7)</f>
        <v>11687.5</v>
      </c>
    </row>
    <row r="9" spans="1:11" ht="15" thickTop="1" x14ac:dyDescent="0.3"/>
  </sheetData>
  <mergeCells count="1">
    <mergeCell ref="A1:K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zoomScaleNormal="100" workbookViewId="0">
      <selection activeCell="E3" sqref="E3"/>
    </sheetView>
  </sheetViews>
  <sheetFormatPr defaultRowHeight="14.4" x14ac:dyDescent="0.3"/>
  <cols>
    <col min="1" max="1" width="17.5546875" customWidth="1"/>
    <col min="2" max="2" width="18.109375" customWidth="1"/>
    <col min="3" max="3" width="10.109375" bestFit="1" customWidth="1"/>
    <col min="4" max="4" width="25" customWidth="1"/>
    <col min="5" max="5" width="32.5546875" customWidth="1"/>
    <col min="6" max="6" width="32.5546875" bestFit="1" customWidth="1"/>
    <col min="7" max="7" width="22.33203125" bestFit="1" customWidth="1"/>
    <col min="8" max="8" width="18.109375" customWidth="1"/>
    <col min="9" max="9" width="20.88671875" customWidth="1"/>
    <col min="10" max="10" width="23.109375" bestFit="1" customWidth="1"/>
    <col min="11" max="11" width="22.44140625" bestFit="1" customWidth="1"/>
    <col min="12" max="12" width="18" bestFit="1" customWidth="1"/>
  </cols>
  <sheetData>
    <row r="1" spans="1:12" ht="19.8" x14ac:dyDescent="0.4">
      <c r="A1" s="159" t="s">
        <v>377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</row>
    <row r="2" spans="1:12" ht="15" thickBot="1" x14ac:dyDescent="0.35">
      <c r="A2" s="121"/>
      <c r="B2" s="121"/>
      <c r="C2" s="121"/>
      <c r="D2" s="121"/>
      <c r="E2" s="121"/>
      <c r="F2" s="122"/>
      <c r="G2" s="121"/>
      <c r="H2" s="121"/>
      <c r="I2" s="121"/>
      <c r="J2" s="121"/>
      <c r="K2" s="121"/>
      <c r="L2" s="121"/>
    </row>
    <row r="3" spans="1:12" ht="15.6" x14ac:dyDescent="0.3">
      <c r="A3" s="43" t="s">
        <v>0</v>
      </c>
      <c r="B3" s="44" t="s">
        <v>1</v>
      </c>
      <c r="C3" s="45" t="s">
        <v>359</v>
      </c>
      <c r="D3" s="46" t="s">
        <v>2</v>
      </c>
      <c r="E3" s="45" t="s">
        <v>55</v>
      </c>
      <c r="F3" s="47" t="s">
        <v>3</v>
      </c>
      <c r="G3" s="45" t="s">
        <v>4</v>
      </c>
      <c r="H3" s="45" t="s">
        <v>5</v>
      </c>
      <c r="I3" s="45" t="s">
        <v>6</v>
      </c>
      <c r="J3" s="45" t="s">
        <v>358</v>
      </c>
      <c r="K3" s="45" t="s">
        <v>79</v>
      </c>
      <c r="L3" s="48" t="s">
        <v>82</v>
      </c>
    </row>
    <row r="4" spans="1:12" x14ac:dyDescent="0.3">
      <c r="A4" s="49" t="s">
        <v>7</v>
      </c>
      <c r="B4" s="34" t="s">
        <v>8</v>
      </c>
      <c r="C4" s="9" t="s">
        <v>355</v>
      </c>
      <c r="D4" s="37" t="s">
        <v>9</v>
      </c>
      <c r="E4" s="7">
        <f ca="1">RANDBETWEEN(DATE(2007,1,1),DATE(2007,12,31))</f>
        <v>39395</v>
      </c>
      <c r="F4" s="8" t="s">
        <v>11</v>
      </c>
      <c r="G4" s="6" t="s">
        <v>12</v>
      </c>
      <c r="H4" s="6" t="s">
        <v>13</v>
      </c>
      <c r="I4" s="6" t="s">
        <v>10</v>
      </c>
      <c r="J4" s="9" t="str">
        <f>IF(I4="Football","$120",IF(I4="Basketball","$200",IF(I4="Netball","$225",IF(I4="Hockey","$275",IF(I4="Swimming","$350")))))</f>
        <v>$120</v>
      </c>
      <c r="K4" s="9" t="s">
        <v>197</v>
      </c>
      <c r="L4" s="50">
        <f>IF(K4="Full",J4*Dataset!$D$3*0.9,IF(K4="Installment",J4*Dataset!$D$3*1.15))</f>
        <v>864</v>
      </c>
    </row>
    <row r="5" spans="1:12" x14ac:dyDescent="0.3">
      <c r="A5" s="51" t="s">
        <v>15</v>
      </c>
      <c r="B5" s="35" t="s">
        <v>14</v>
      </c>
      <c r="C5" s="9" t="s">
        <v>354</v>
      </c>
      <c r="D5" s="38" t="s">
        <v>16</v>
      </c>
      <c r="E5" s="7">
        <f t="shared" ref="E5:E18" ca="1" si="0">RANDBETWEEN(DATE(2007,1,1),DATE(2007,12,31))</f>
        <v>39369</v>
      </c>
      <c r="F5" s="11" t="s">
        <v>17</v>
      </c>
      <c r="G5" s="10" t="s">
        <v>18</v>
      </c>
      <c r="H5" s="10" t="s">
        <v>19</v>
      </c>
      <c r="I5" s="10" t="s">
        <v>10</v>
      </c>
      <c r="J5" s="9" t="str">
        <f t="shared" ref="J5:J18" si="1">IF(I5="Football","$120",IF(I5="Basketball","$200",IF(I5="Netball","$225",IF(I5="Hockey","$275",IF(I5="Swimming","$350")))))</f>
        <v>$120</v>
      </c>
      <c r="K5" s="9" t="s">
        <v>197</v>
      </c>
      <c r="L5" s="50">
        <f>IF(K5="Full",J5*Dataset!$D$3*0.9,IF(K5="Installment",J5*Dataset!$D$3*1.15))</f>
        <v>864</v>
      </c>
    </row>
    <row r="6" spans="1:12" x14ac:dyDescent="0.3">
      <c r="A6" s="51" t="s">
        <v>20</v>
      </c>
      <c r="B6" s="35" t="s">
        <v>21</v>
      </c>
      <c r="C6" s="9" t="s">
        <v>355</v>
      </c>
      <c r="D6" s="38" t="s">
        <v>22</v>
      </c>
      <c r="E6" s="7">
        <f t="shared" ca="1" si="0"/>
        <v>39363</v>
      </c>
      <c r="F6" s="11" t="s">
        <v>23</v>
      </c>
      <c r="G6" s="10" t="s">
        <v>24</v>
      </c>
      <c r="H6" s="10" t="s">
        <v>19</v>
      </c>
      <c r="I6" s="10" t="s">
        <v>10</v>
      </c>
      <c r="J6" s="9" t="str">
        <f t="shared" si="1"/>
        <v>$120</v>
      </c>
      <c r="K6" s="9" t="s">
        <v>80</v>
      </c>
      <c r="L6" s="50">
        <f>IF(K6="Full",J6*Dataset!$D$3*0.9,IF(K6="Installment",J6*Dataset!$D$3*1.15))</f>
        <v>1104</v>
      </c>
    </row>
    <row r="7" spans="1:12" x14ac:dyDescent="0.3">
      <c r="A7" s="51" t="s">
        <v>25</v>
      </c>
      <c r="B7" s="35" t="s">
        <v>26</v>
      </c>
      <c r="C7" s="9" t="s">
        <v>355</v>
      </c>
      <c r="D7" s="38" t="s">
        <v>27</v>
      </c>
      <c r="E7" s="7">
        <f t="shared" ca="1" si="0"/>
        <v>39113</v>
      </c>
      <c r="F7" s="11" t="s">
        <v>28</v>
      </c>
      <c r="G7" s="10" t="s">
        <v>29</v>
      </c>
      <c r="H7" s="10" t="s">
        <v>30</v>
      </c>
      <c r="I7" s="10" t="s">
        <v>10</v>
      </c>
      <c r="J7" s="9" t="str">
        <f t="shared" si="1"/>
        <v>$120</v>
      </c>
      <c r="K7" s="9" t="s">
        <v>80</v>
      </c>
      <c r="L7" s="50">
        <f>IF(K7="Full",J7*Dataset!$D$3*0.9,IF(K7="Installment",J7*Dataset!$D$3*1.15))</f>
        <v>1104</v>
      </c>
    </row>
    <row r="8" spans="1:12" x14ac:dyDescent="0.3">
      <c r="A8" s="51" t="s">
        <v>32</v>
      </c>
      <c r="B8" s="36" t="s">
        <v>31</v>
      </c>
      <c r="C8" s="9" t="s">
        <v>355</v>
      </c>
      <c r="D8" s="38" t="s">
        <v>33</v>
      </c>
      <c r="E8" s="7">
        <f t="shared" ca="1" si="0"/>
        <v>39219</v>
      </c>
      <c r="F8" s="11" t="s">
        <v>34</v>
      </c>
      <c r="G8" s="10" t="s">
        <v>35</v>
      </c>
      <c r="H8" s="10" t="s">
        <v>13</v>
      </c>
      <c r="I8" s="6" t="s">
        <v>10</v>
      </c>
      <c r="J8" s="9" t="str">
        <f t="shared" si="1"/>
        <v>$120</v>
      </c>
      <c r="K8" s="9" t="s">
        <v>197</v>
      </c>
      <c r="L8" s="50">
        <f>IF(K8="Full",J8*Dataset!$D$3*0.9,IF(K8="Installment",J8*Dataset!$D$3*1.15))</f>
        <v>864</v>
      </c>
    </row>
    <row r="9" spans="1:12" x14ac:dyDescent="0.3">
      <c r="A9" s="51" t="s">
        <v>36</v>
      </c>
      <c r="B9" s="35" t="s">
        <v>37</v>
      </c>
      <c r="C9" s="9" t="s">
        <v>354</v>
      </c>
      <c r="D9" s="38" t="s">
        <v>38</v>
      </c>
      <c r="E9" s="7">
        <f t="shared" ca="1" si="0"/>
        <v>39147</v>
      </c>
      <c r="F9" s="11" t="s">
        <v>39</v>
      </c>
      <c r="G9" s="10" t="s">
        <v>40</v>
      </c>
      <c r="H9" s="10" t="s">
        <v>30</v>
      </c>
      <c r="I9" s="10" t="s">
        <v>10</v>
      </c>
      <c r="J9" s="9" t="str">
        <f t="shared" si="1"/>
        <v>$120</v>
      </c>
      <c r="K9" s="9" t="s">
        <v>197</v>
      </c>
      <c r="L9" s="50">
        <f>IF(K9="Full",J9*Dataset!$D$3*0.9,IF(K9="Installment",J9*Dataset!$D$3*1.15))</f>
        <v>864</v>
      </c>
    </row>
    <row r="10" spans="1:12" x14ac:dyDescent="0.3">
      <c r="A10" s="51" t="s">
        <v>36</v>
      </c>
      <c r="B10" s="35" t="s">
        <v>41</v>
      </c>
      <c r="C10" s="9" t="s">
        <v>354</v>
      </c>
      <c r="D10" s="38" t="s">
        <v>38</v>
      </c>
      <c r="E10" s="7">
        <f t="shared" ca="1" si="0"/>
        <v>39282</v>
      </c>
      <c r="F10" s="11" t="s">
        <v>39</v>
      </c>
      <c r="G10" s="10" t="s">
        <v>40</v>
      </c>
      <c r="H10" s="10" t="s">
        <v>30</v>
      </c>
      <c r="I10" s="10" t="s">
        <v>10</v>
      </c>
      <c r="J10" s="9" t="str">
        <f t="shared" si="1"/>
        <v>$120</v>
      </c>
      <c r="K10" s="9" t="s">
        <v>197</v>
      </c>
      <c r="L10" s="50">
        <f>IF(K10="Full",J10*Dataset!$D$3*0.9,IF(K10="Installment",J10*Dataset!$D$3*1.15))</f>
        <v>864</v>
      </c>
    </row>
    <row r="11" spans="1:12" x14ac:dyDescent="0.3">
      <c r="A11" s="51" t="s">
        <v>42</v>
      </c>
      <c r="B11" s="35" t="s">
        <v>43</v>
      </c>
      <c r="C11" s="9" t="s">
        <v>354</v>
      </c>
      <c r="D11" s="38" t="s">
        <v>44</v>
      </c>
      <c r="E11" s="7">
        <f t="shared" ca="1" si="0"/>
        <v>39329</v>
      </c>
      <c r="F11" s="11" t="s">
        <v>45</v>
      </c>
      <c r="G11" s="10" t="s">
        <v>46</v>
      </c>
      <c r="H11" s="10" t="s">
        <v>13</v>
      </c>
      <c r="I11" s="10" t="s">
        <v>10</v>
      </c>
      <c r="J11" s="9" t="str">
        <f t="shared" si="1"/>
        <v>$120</v>
      </c>
      <c r="K11" s="9" t="s">
        <v>80</v>
      </c>
      <c r="L11" s="50">
        <f>IF(K11="Full",J11*Dataset!$D$3*0.9,IF(K11="Installment",J11*Dataset!$D$3*1.15))</f>
        <v>1104</v>
      </c>
    </row>
    <row r="12" spans="1:12" x14ac:dyDescent="0.3">
      <c r="A12" s="51" t="s">
        <v>47</v>
      </c>
      <c r="B12" s="35" t="s">
        <v>48</v>
      </c>
      <c r="C12" s="9" t="s">
        <v>354</v>
      </c>
      <c r="D12" s="38" t="s">
        <v>49</v>
      </c>
      <c r="E12" s="7">
        <f t="shared" ca="1" si="0"/>
        <v>39410</v>
      </c>
      <c r="F12" s="11" t="s">
        <v>50</v>
      </c>
      <c r="G12" s="10" t="s">
        <v>51</v>
      </c>
      <c r="H12" s="10" t="s">
        <v>19</v>
      </c>
      <c r="I12" s="10" t="s">
        <v>10</v>
      </c>
      <c r="J12" s="9" t="str">
        <f t="shared" si="1"/>
        <v>$120</v>
      </c>
      <c r="K12" s="9" t="s">
        <v>80</v>
      </c>
      <c r="L12" s="50">
        <f>IF(K12="Full",J12*Dataset!$D$3*0.9,IF(K12="Installment",J12*Dataset!$D$3*1.15))</f>
        <v>1104</v>
      </c>
    </row>
    <row r="13" spans="1:12" x14ac:dyDescent="0.3">
      <c r="A13" s="51" t="s">
        <v>52</v>
      </c>
      <c r="B13" s="35" t="s">
        <v>53</v>
      </c>
      <c r="C13" s="9" t="s">
        <v>355</v>
      </c>
      <c r="D13" s="38" t="s">
        <v>54</v>
      </c>
      <c r="E13" s="7">
        <f t="shared" ca="1" si="0"/>
        <v>39245</v>
      </c>
      <c r="F13" s="11" t="s">
        <v>56</v>
      </c>
      <c r="G13" s="10" t="s">
        <v>57</v>
      </c>
      <c r="H13" s="10" t="s">
        <v>30</v>
      </c>
      <c r="I13" s="10" t="s">
        <v>10</v>
      </c>
      <c r="J13" s="9" t="str">
        <f t="shared" si="1"/>
        <v>$120</v>
      </c>
      <c r="K13" s="9" t="s">
        <v>197</v>
      </c>
      <c r="L13" s="50">
        <f>IF(K13="Full",J13*Dataset!$D$3*0.9,IF(K13="Installment",J13*Dataset!$D$3*1.15))</f>
        <v>864</v>
      </c>
    </row>
    <row r="14" spans="1:12" x14ac:dyDescent="0.3">
      <c r="A14" s="51" t="s">
        <v>58</v>
      </c>
      <c r="B14" s="35" t="s">
        <v>59</v>
      </c>
      <c r="C14" s="9" t="s">
        <v>355</v>
      </c>
      <c r="D14" s="38" t="s">
        <v>60</v>
      </c>
      <c r="E14" s="7">
        <f t="shared" ca="1" si="0"/>
        <v>39315</v>
      </c>
      <c r="F14" s="11" t="s">
        <v>61</v>
      </c>
      <c r="G14" s="10" t="s">
        <v>62</v>
      </c>
      <c r="H14" s="10" t="s">
        <v>63</v>
      </c>
      <c r="I14" s="10" t="s">
        <v>10</v>
      </c>
      <c r="J14" s="9" t="str">
        <f t="shared" si="1"/>
        <v>$120</v>
      </c>
      <c r="K14" s="9" t="s">
        <v>80</v>
      </c>
      <c r="L14" s="50">
        <f>IF(K14="Full",J14*Dataset!$D$3*0.9,IF(K14="Installment",J14*Dataset!$D$3*1.15))</f>
        <v>1104</v>
      </c>
    </row>
    <row r="15" spans="1:12" x14ac:dyDescent="0.3">
      <c r="A15" s="51" t="s">
        <v>64</v>
      </c>
      <c r="B15" s="35" t="s">
        <v>65</v>
      </c>
      <c r="C15" s="9" t="s">
        <v>354</v>
      </c>
      <c r="D15" s="38" t="s">
        <v>66</v>
      </c>
      <c r="E15" s="7">
        <f t="shared" ca="1" si="0"/>
        <v>39356</v>
      </c>
      <c r="F15" s="11" t="s">
        <v>67</v>
      </c>
      <c r="G15" s="10" t="s">
        <v>68</v>
      </c>
      <c r="H15" s="10" t="s">
        <v>30</v>
      </c>
      <c r="I15" s="10" t="s">
        <v>10</v>
      </c>
      <c r="J15" s="9" t="str">
        <f t="shared" si="1"/>
        <v>$120</v>
      </c>
      <c r="K15" s="9" t="s">
        <v>197</v>
      </c>
      <c r="L15" s="50">
        <f>IF(K15="Full",J15*Dataset!$D$3*0.9,IF(K15="Installment",J15*Dataset!$D$3*1.15))</f>
        <v>864</v>
      </c>
    </row>
    <row r="16" spans="1:12" x14ac:dyDescent="0.3">
      <c r="A16" s="51" t="s">
        <v>69</v>
      </c>
      <c r="B16" s="35" t="s">
        <v>70</v>
      </c>
      <c r="C16" s="9" t="s">
        <v>355</v>
      </c>
      <c r="D16" s="38" t="s">
        <v>71</v>
      </c>
      <c r="E16" s="7">
        <f t="shared" ca="1" si="0"/>
        <v>39141</v>
      </c>
      <c r="F16" s="12" t="s">
        <v>72</v>
      </c>
      <c r="G16" s="10" t="s">
        <v>77</v>
      </c>
      <c r="H16" s="10" t="s">
        <v>30</v>
      </c>
      <c r="I16" s="10" t="s">
        <v>10</v>
      </c>
      <c r="J16" s="9" t="str">
        <f t="shared" si="1"/>
        <v>$120</v>
      </c>
      <c r="K16" s="9" t="s">
        <v>197</v>
      </c>
      <c r="L16" s="50">
        <f>IF(K16="Full",J16*Dataset!$D$3*0.9,IF(K16="Installment",J16*Dataset!$D$3*1.15))</f>
        <v>864</v>
      </c>
    </row>
    <row r="17" spans="1:12" x14ac:dyDescent="0.3">
      <c r="A17" s="51" t="s">
        <v>362</v>
      </c>
      <c r="B17" s="35" t="s">
        <v>363</v>
      </c>
      <c r="C17" s="9" t="s">
        <v>354</v>
      </c>
      <c r="D17" s="38" t="s">
        <v>364</v>
      </c>
      <c r="E17" s="7">
        <f t="shared" ca="1" si="0"/>
        <v>39431</v>
      </c>
      <c r="F17" s="12" t="s">
        <v>365</v>
      </c>
      <c r="G17" s="10" t="s">
        <v>366</v>
      </c>
      <c r="H17" s="10" t="s">
        <v>13</v>
      </c>
      <c r="I17" s="10" t="s">
        <v>10</v>
      </c>
      <c r="J17" s="9" t="str">
        <f t="shared" si="1"/>
        <v>$120</v>
      </c>
      <c r="K17" s="9" t="s">
        <v>80</v>
      </c>
      <c r="L17" s="50">
        <f>IF(K17="Full",J17*Dataset!$D$3*0.9,IF(K17="Installment",J17*Dataset!$D$3*1.15))</f>
        <v>1104</v>
      </c>
    </row>
    <row r="18" spans="1:12" x14ac:dyDescent="0.3">
      <c r="A18" s="51" t="s">
        <v>74</v>
      </c>
      <c r="B18" s="35" t="s">
        <v>73</v>
      </c>
      <c r="C18" s="9" t="s">
        <v>354</v>
      </c>
      <c r="D18" s="38" t="s">
        <v>75</v>
      </c>
      <c r="E18" s="7">
        <f t="shared" ca="1" si="0"/>
        <v>39346</v>
      </c>
      <c r="F18" s="11" t="s">
        <v>76</v>
      </c>
      <c r="G18" s="10" t="s">
        <v>78</v>
      </c>
      <c r="H18" s="10" t="s">
        <v>19</v>
      </c>
      <c r="I18" s="10" t="s">
        <v>10</v>
      </c>
      <c r="J18" s="9" t="str">
        <f t="shared" si="1"/>
        <v>$120</v>
      </c>
      <c r="K18" s="9" t="s">
        <v>197</v>
      </c>
      <c r="L18" s="50">
        <f>IF(K18="Full",J18*Dataset!$D$3*0.9,IF(K18="Installment",J18*Dataset!$D$3*1.15))</f>
        <v>864</v>
      </c>
    </row>
    <row r="19" spans="1:12" x14ac:dyDescent="0.3">
      <c r="A19" s="63"/>
      <c r="B19" s="64"/>
      <c r="C19" s="64"/>
      <c r="D19" s="64"/>
      <c r="E19" s="64"/>
      <c r="F19" s="64"/>
      <c r="G19" s="64"/>
      <c r="H19" s="9"/>
      <c r="I19" s="9"/>
      <c r="J19" s="9"/>
      <c r="K19" s="33" t="s">
        <v>83</v>
      </c>
      <c r="L19" s="50">
        <f>SUM(L4:L18)</f>
        <v>14400</v>
      </c>
    </row>
    <row r="20" spans="1:12" ht="15" thickBot="1" x14ac:dyDescent="0.35">
      <c r="A20" s="65"/>
      <c r="B20" s="66"/>
      <c r="C20" s="66"/>
      <c r="D20" s="66"/>
      <c r="E20" s="66"/>
      <c r="F20" s="66"/>
      <c r="G20" s="66"/>
      <c r="H20" s="54" t="s">
        <v>84</v>
      </c>
      <c r="I20" s="55">
        <f>COUNTA(A4:A18)</f>
        <v>15</v>
      </c>
      <c r="J20" s="55"/>
      <c r="K20" s="55"/>
      <c r="L20" s="56"/>
    </row>
  </sheetData>
  <autoFilter ref="A3:L20"/>
  <mergeCells count="1">
    <mergeCell ref="A1:L1"/>
  </mergeCells>
  <dataValidations count="1">
    <dataValidation type="date" allowBlank="1" showInputMessage="1" showErrorMessage="1" sqref="E1:E1048576">
      <formula1>38718</formula1>
      <formula2>39812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Dataset!$E$3:$E$4</xm:f>
          </x14:formula1>
          <xm:sqref>K1:K1048576</xm:sqref>
        </x14:dataValidation>
        <x14:dataValidation type="list" allowBlank="1" showInputMessage="1" showErrorMessage="1">
          <x14:formula1>
            <xm:f>Dataset!$C$3:$C$5</xm:f>
          </x14:formula1>
          <xm:sqref>H1:H1048576</xm:sqref>
        </x14:dataValidation>
        <x14:dataValidation type="list" allowBlank="1" showInputMessage="1" showErrorMessage="1">
          <x14:formula1>
            <xm:f>Dataset!$A$3:$A$4</xm:f>
          </x14:formula1>
          <xm:sqref>C1:C1048576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Views>
    <sheetView workbookViewId="0">
      <selection activeCell="A13" sqref="A13"/>
    </sheetView>
  </sheetViews>
  <sheetFormatPr defaultRowHeight="14.4" x14ac:dyDescent="0.3"/>
  <cols>
    <col min="1" max="1" width="30.33203125" style="145" customWidth="1"/>
  </cols>
  <sheetData>
    <row r="1" spans="1:1" ht="21" x14ac:dyDescent="0.4">
      <c r="A1" s="148" t="s">
        <v>385</v>
      </c>
    </row>
    <row r="2" spans="1:1" ht="15" thickBot="1" x14ac:dyDescent="0.35"/>
    <row r="3" spans="1:1" ht="15" thickTop="1" x14ac:dyDescent="0.3">
      <c r="A3" s="146" t="s">
        <v>380</v>
      </c>
    </row>
    <row r="4" spans="1:1" ht="15" thickBot="1" x14ac:dyDescent="0.35">
      <c r="A4" s="147">
        <v>14400</v>
      </c>
    </row>
    <row r="5" spans="1:1" ht="15.6" thickTop="1" thickBot="1" x14ac:dyDescent="0.35"/>
    <row r="6" spans="1:1" ht="15" thickTop="1" x14ac:dyDescent="0.3">
      <c r="A6" s="146" t="s">
        <v>381</v>
      </c>
    </row>
    <row r="7" spans="1:1" ht="15" thickBot="1" x14ac:dyDescent="0.35">
      <c r="A7" s="147">
        <v>24000</v>
      </c>
    </row>
    <row r="8" spans="1:1" ht="15.6" thickTop="1" thickBot="1" x14ac:dyDescent="0.35"/>
    <row r="9" spans="1:1" ht="15" thickTop="1" x14ac:dyDescent="0.3">
      <c r="A9" s="146" t="s">
        <v>382</v>
      </c>
    </row>
    <row r="10" spans="1:1" ht="15" thickBot="1" x14ac:dyDescent="0.35">
      <c r="A10" s="147">
        <v>23310</v>
      </c>
    </row>
    <row r="11" spans="1:1" ht="15.6" thickTop="1" thickBot="1" x14ac:dyDescent="0.35"/>
    <row r="12" spans="1:1" ht="15" thickTop="1" x14ac:dyDescent="0.3">
      <c r="A12" s="146" t="s">
        <v>383</v>
      </c>
    </row>
    <row r="13" spans="1:1" ht="15" thickBot="1" x14ac:dyDescent="0.35">
      <c r="A13" s="147">
        <v>27060</v>
      </c>
    </row>
    <row r="14" spans="1:1" ht="15.6" thickTop="1" thickBot="1" x14ac:dyDescent="0.35"/>
    <row r="15" spans="1:1" ht="15" thickTop="1" x14ac:dyDescent="0.3">
      <c r="A15" s="146" t="s">
        <v>384</v>
      </c>
    </row>
    <row r="16" spans="1:1" ht="15" thickBot="1" x14ac:dyDescent="0.35">
      <c r="A16" s="147">
        <v>38359.999999999993</v>
      </c>
    </row>
    <row r="17" ht="15" thickTop="1" x14ac:dyDescent="0.3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opLeftCell="B10" zoomScaleNormal="100" workbookViewId="0">
      <selection activeCell="E24" sqref="E24"/>
    </sheetView>
  </sheetViews>
  <sheetFormatPr defaultRowHeight="14.4" x14ac:dyDescent="0.3"/>
  <cols>
    <col min="1" max="1" width="17.5546875" customWidth="1"/>
    <col min="2" max="2" width="18.109375" customWidth="1"/>
    <col min="3" max="3" width="7.88671875" bestFit="1" customWidth="1"/>
    <col min="4" max="4" width="25" customWidth="1"/>
    <col min="5" max="5" width="32.5546875" customWidth="1"/>
    <col min="6" max="6" width="32.5546875" bestFit="1" customWidth="1"/>
    <col min="7" max="8" width="18.109375" customWidth="1"/>
    <col min="9" max="10" width="20.88671875" customWidth="1"/>
    <col min="11" max="11" width="20.33203125" customWidth="1"/>
    <col min="12" max="12" width="15.77734375" customWidth="1"/>
  </cols>
  <sheetData>
    <row r="1" spans="1:12" ht="19.8" x14ac:dyDescent="0.4">
      <c r="A1" s="159" t="s">
        <v>378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</row>
    <row r="2" spans="1:12" ht="15" thickBot="1" x14ac:dyDescent="0.35">
      <c r="A2" s="121"/>
      <c r="B2" s="121"/>
      <c r="C2" s="121"/>
      <c r="D2" s="121"/>
      <c r="E2" s="121"/>
      <c r="F2" s="122"/>
      <c r="G2" s="121"/>
      <c r="H2" s="121"/>
      <c r="I2" s="121"/>
      <c r="J2" s="121"/>
      <c r="K2" s="121"/>
      <c r="L2" s="121"/>
    </row>
    <row r="3" spans="1:12" ht="15.6" x14ac:dyDescent="0.3">
      <c r="A3" s="43" t="s">
        <v>0</v>
      </c>
      <c r="B3" s="44" t="s">
        <v>1</v>
      </c>
      <c r="C3" s="45" t="s">
        <v>359</v>
      </c>
      <c r="D3" s="46" t="s">
        <v>2</v>
      </c>
      <c r="E3" s="45" t="s">
        <v>55</v>
      </c>
      <c r="F3" s="47" t="s">
        <v>3</v>
      </c>
      <c r="G3" s="45" t="s">
        <v>4</v>
      </c>
      <c r="H3" s="45" t="s">
        <v>5</v>
      </c>
      <c r="I3" s="45" t="s">
        <v>6</v>
      </c>
      <c r="J3" s="45" t="s">
        <v>358</v>
      </c>
      <c r="K3" s="45" t="s">
        <v>79</v>
      </c>
      <c r="L3" s="48" t="s">
        <v>82</v>
      </c>
    </row>
    <row r="4" spans="1:12" x14ac:dyDescent="0.3">
      <c r="A4" s="49" t="s">
        <v>7</v>
      </c>
      <c r="B4" s="34" t="s">
        <v>8</v>
      </c>
      <c r="C4" s="9" t="s">
        <v>355</v>
      </c>
      <c r="D4" s="37" t="s">
        <v>9</v>
      </c>
      <c r="E4" s="7">
        <f ca="1">RANDBETWEEN(DATE(2007,1,1),DATE(2007,12,31))</f>
        <v>39391</v>
      </c>
      <c r="F4" s="8" t="s">
        <v>11</v>
      </c>
      <c r="G4" s="6" t="s">
        <v>12</v>
      </c>
      <c r="H4" s="6" t="s">
        <v>13</v>
      </c>
      <c r="I4" s="6" t="s">
        <v>10</v>
      </c>
      <c r="J4" s="9" t="str">
        <f>IF(I4="Football","$120",IF(I4="Basketball","$200",IF(I4="Netball","$225",IF(I4="Hockey","$275",IF(I4="Swimming","$350")))))</f>
        <v>$120</v>
      </c>
      <c r="K4" s="9" t="s">
        <v>197</v>
      </c>
      <c r="L4" s="50">
        <f>IF(K4="Full",J4*Dataset!$D$3*0.9,IF(K4="Installment",J4*Dataset!$D$3*1.15))</f>
        <v>864</v>
      </c>
    </row>
    <row r="5" spans="1:12" x14ac:dyDescent="0.3">
      <c r="A5" s="51" t="s">
        <v>15</v>
      </c>
      <c r="B5" s="35" t="s">
        <v>14</v>
      </c>
      <c r="C5" s="9" t="s">
        <v>354</v>
      </c>
      <c r="D5" s="38" t="s">
        <v>16</v>
      </c>
      <c r="E5" s="7">
        <f t="shared" ref="E5:E18" ca="1" si="0">RANDBETWEEN(DATE(2007,1,1),DATE(2007,12,31))</f>
        <v>39416</v>
      </c>
      <c r="F5" s="11" t="s">
        <v>17</v>
      </c>
      <c r="G5" s="10" t="s">
        <v>18</v>
      </c>
      <c r="H5" s="10" t="s">
        <v>19</v>
      </c>
      <c r="I5" s="10" t="s">
        <v>10</v>
      </c>
      <c r="J5" s="9" t="str">
        <f t="shared" ref="J5:J18" si="1">IF(I5="Football","$120",IF(I5="Basketball","$200",IF(I5="Netball","$225",IF(I5="Hockey","$275",IF(I5="Swimming","$350")))))</f>
        <v>$120</v>
      </c>
      <c r="K5" s="9" t="s">
        <v>197</v>
      </c>
      <c r="L5" s="50">
        <f>IF(K5="Full",J5*Dataset!$D$3*0.9,IF(K5="Installment",J5*Dataset!$D$3*1.15))</f>
        <v>864</v>
      </c>
    </row>
    <row r="6" spans="1:12" x14ac:dyDescent="0.3">
      <c r="A6" s="51" t="s">
        <v>20</v>
      </c>
      <c r="B6" s="35" t="s">
        <v>21</v>
      </c>
      <c r="C6" s="9" t="s">
        <v>355</v>
      </c>
      <c r="D6" s="38" t="s">
        <v>22</v>
      </c>
      <c r="E6" s="7">
        <f t="shared" ca="1" si="0"/>
        <v>39441</v>
      </c>
      <c r="F6" s="11" t="s">
        <v>23</v>
      </c>
      <c r="G6" s="10" t="s">
        <v>24</v>
      </c>
      <c r="H6" s="10" t="s">
        <v>19</v>
      </c>
      <c r="I6" s="10" t="s">
        <v>10</v>
      </c>
      <c r="J6" s="9" t="str">
        <f t="shared" si="1"/>
        <v>$120</v>
      </c>
      <c r="K6" s="9" t="s">
        <v>80</v>
      </c>
      <c r="L6" s="50">
        <f>IF(K6="Full",J6*Dataset!$D$3*0.9,IF(K6="Installment",J6*Dataset!$D$3*1.15))</f>
        <v>1104</v>
      </c>
    </row>
    <row r="7" spans="1:12" x14ac:dyDescent="0.3">
      <c r="A7" s="51" t="s">
        <v>25</v>
      </c>
      <c r="B7" s="35" t="s">
        <v>26</v>
      </c>
      <c r="C7" s="9" t="s">
        <v>355</v>
      </c>
      <c r="D7" s="38" t="s">
        <v>27</v>
      </c>
      <c r="E7" s="7">
        <f t="shared" ca="1" si="0"/>
        <v>39348</v>
      </c>
      <c r="F7" s="11" t="s">
        <v>28</v>
      </c>
      <c r="G7" s="10" t="s">
        <v>29</v>
      </c>
      <c r="H7" s="10" t="s">
        <v>30</v>
      </c>
      <c r="I7" s="10" t="s">
        <v>10</v>
      </c>
      <c r="J7" s="9" t="str">
        <f t="shared" si="1"/>
        <v>$120</v>
      </c>
      <c r="K7" s="9" t="s">
        <v>80</v>
      </c>
      <c r="L7" s="50">
        <f>IF(K7="Full",J7*Dataset!$D$3*0.9,IF(K7="Installment",J7*Dataset!$D$3*1.15))</f>
        <v>1104</v>
      </c>
    </row>
    <row r="8" spans="1:12" x14ac:dyDescent="0.3">
      <c r="A8" s="51" t="s">
        <v>32</v>
      </c>
      <c r="B8" s="36" t="s">
        <v>31</v>
      </c>
      <c r="C8" s="9" t="s">
        <v>355</v>
      </c>
      <c r="D8" s="38" t="s">
        <v>33</v>
      </c>
      <c r="E8" s="7">
        <f t="shared" ca="1" si="0"/>
        <v>39119</v>
      </c>
      <c r="F8" s="11" t="s">
        <v>34</v>
      </c>
      <c r="G8" s="10" t="s">
        <v>35</v>
      </c>
      <c r="H8" s="10" t="s">
        <v>13</v>
      </c>
      <c r="I8" s="6" t="s">
        <v>10</v>
      </c>
      <c r="J8" s="9" t="str">
        <f t="shared" si="1"/>
        <v>$120</v>
      </c>
      <c r="K8" s="9" t="s">
        <v>197</v>
      </c>
      <c r="L8" s="50">
        <f>IF(K8="Full",J8*Dataset!$D$3*0.9,IF(K8="Installment",J8*Dataset!$D$3*1.15))</f>
        <v>864</v>
      </c>
    </row>
    <row r="9" spans="1:12" x14ac:dyDescent="0.3">
      <c r="A9" s="51" t="s">
        <v>36</v>
      </c>
      <c r="B9" s="35" t="s">
        <v>37</v>
      </c>
      <c r="C9" s="9" t="s">
        <v>354</v>
      </c>
      <c r="D9" s="38" t="s">
        <v>38</v>
      </c>
      <c r="E9" s="7">
        <f t="shared" ca="1" si="0"/>
        <v>39424</v>
      </c>
      <c r="F9" s="11" t="s">
        <v>39</v>
      </c>
      <c r="G9" s="10" t="s">
        <v>40</v>
      </c>
      <c r="H9" s="10" t="s">
        <v>30</v>
      </c>
      <c r="I9" s="10" t="s">
        <v>10</v>
      </c>
      <c r="J9" s="9" t="str">
        <f t="shared" si="1"/>
        <v>$120</v>
      </c>
      <c r="K9" s="9" t="s">
        <v>197</v>
      </c>
      <c r="L9" s="50">
        <f>IF(K9="Full",J9*Dataset!$D$3*0.9,IF(K9="Installment",J9*Dataset!$D$3*1.15))</f>
        <v>864</v>
      </c>
    </row>
    <row r="10" spans="1:12" x14ac:dyDescent="0.3">
      <c r="A10" s="51" t="s">
        <v>36</v>
      </c>
      <c r="B10" s="35" t="s">
        <v>41</v>
      </c>
      <c r="C10" s="9" t="s">
        <v>354</v>
      </c>
      <c r="D10" s="38" t="s">
        <v>38</v>
      </c>
      <c r="E10" s="7">
        <f t="shared" ca="1" si="0"/>
        <v>39166</v>
      </c>
      <c r="F10" s="11" t="s">
        <v>39</v>
      </c>
      <c r="G10" s="10" t="s">
        <v>40</v>
      </c>
      <c r="H10" s="10" t="s">
        <v>30</v>
      </c>
      <c r="I10" s="10" t="s">
        <v>10</v>
      </c>
      <c r="J10" s="9" t="str">
        <f t="shared" si="1"/>
        <v>$120</v>
      </c>
      <c r="K10" s="9" t="s">
        <v>197</v>
      </c>
      <c r="L10" s="50">
        <f>IF(K10="Full",J10*Dataset!$D$3*0.9,IF(K10="Installment",J10*Dataset!$D$3*1.15))</f>
        <v>864</v>
      </c>
    </row>
    <row r="11" spans="1:12" x14ac:dyDescent="0.3">
      <c r="A11" s="51" t="s">
        <v>42</v>
      </c>
      <c r="B11" s="35" t="s">
        <v>43</v>
      </c>
      <c r="C11" s="9" t="s">
        <v>354</v>
      </c>
      <c r="D11" s="38" t="s">
        <v>44</v>
      </c>
      <c r="E11" s="7">
        <f t="shared" ca="1" si="0"/>
        <v>39204</v>
      </c>
      <c r="F11" s="11" t="s">
        <v>45</v>
      </c>
      <c r="G11" s="10" t="s">
        <v>46</v>
      </c>
      <c r="H11" s="10" t="s">
        <v>13</v>
      </c>
      <c r="I11" s="10" t="s">
        <v>10</v>
      </c>
      <c r="J11" s="9" t="str">
        <f t="shared" si="1"/>
        <v>$120</v>
      </c>
      <c r="K11" s="9" t="s">
        <v>80</v>
      </c>
      <c r="L11" s="50">
        <f>IF(K11="Full",J11*Dataset!$D$3*0.9,IF(K11="Installment",J11*Dataset!$D$3*1.15))</f>
        <v>1104</v>
      </c>
    </row>
    <row r="12" spans="1:12" x14ac:dyDescent="0.3">
      <c r="A12" s="51" t="s">
        <v>47</v>
      </c>
      <c r="B12" s="35" t="s">
        <v>48</v>
      </c>
      <c r="C12" s="9" t="s">
        <v>354</v>
      </c>
      <c r="D12" s="38" t="s">
        <v>49</v>
      </c>
      <c r="E12" s="7">
        <f t="shared" ca="1" si="0"/>
        <v>39183</v>
      </c>
      <c r="F12" s="11" t="s">
        <v>50</v>
      </c>
      <c r="G12" s="10" t="s">
        <v>51</v>
      </c>
      <c r="H12" s="10" t="s">
        <v>19</v>
      </c>
      <c r="I12" s="10" t="s">
        <v>10</v>
      </c>
      <c r="J12" s="9" t="str">
        <f t="shared" si="1"/>
        <v>$120</v>
      </c>
      <c r="K12" s="9" t="s">
        <v>80</v>
      </c>
      <c r="L12" s="50">
        <f>IF(K12="Full",J12*Dataset!$D$3*0.9,IF(K12="Installment",J12*Dataset!$D$3*1.15))</f>
        <v>1104</v>
      </c>
    </row>
    <row r="13" spans="1:12" x14ac:dyDescent="0.3">
      <c r="A13" s="51" t="s">
        <v>52</v>
      </c>
      <c r="B13" s="35" t="s">
        <v>53</v>
      </c>
      <c r="C13" s="9" t="s">
        <v>355</v>
      </c>
      <c r="D13" s="38" t="s">
        <v>54</v>
      </c>
      <c r="E13" s="7">
        <f t="shared" ca="1" si="0"/>
        <v>39200</v>
      </c>
      <c r="F13" s="11" t="s">
        <v>56</v>
      </c>
      <c r="G13" s="10" t="s">
        <v>57</v>
      </c>
      <c r="H13" s="10" t="s">
        <v>30</v>
      </c>
      <c r="I13" s="10" t="s">
        <v>10</v>
      </c>
      <c r="J13" s="9" t="str">
        <f t="shared" si="1"/>
        <v>$120</v>
      </c>
      <c r="K13" s="9" t="s">
        <v>197</v>
      </c>
      <c r="L13" s="50">
        <f>IF(K13="Full",J13*Dataset!$D$3*0.9,IF(K13="Installment",J13*Dataset!$D$3*1.15))</f>
        <v>864</v>
      </c>
    </row>
    <row r="14" spans="1:12" x14ac:dyDescent="0.3">
      <c r="A14" s="51" t="s">
        <v>58</v>
      </c>
      <c r="B14" s="35" t="s">
        <v>59</v>
      </c>
      <c r="C14" s="9" t="s">
        <v>355</v>
      </c>
      <c r="D14" s="38" t="s">
        <v>60</v>
      </c>
      <c r="E14" s="7">
        <f t="shared" ca="1" si="0"/>
        <v>39218</v>
      </c>
      <c r="F14" s="11" t="s">
        <v>61</v>
      </c>
      <c r="G14" s="10" t="s">
        <v>62</v>
      </c>
      <c r="H14" s="10" t="s">
        <v>63</v>
      </c>
      <c r="I14" s="10" t="s">
        <v>10</v>
      </c>
      <c r="J14" s="9" t="str">
        <f t="shared" si="1"/>
        <v>$120</v>
      </c>
      <c r="K14" s="9" t="s">
        <v>80</v>
      </c>
      <c r="L14" s="50">
        <f>IF(K14="Full",J14*Dataset!$D$3*0.9,IF(K14="Installment",J14*Dataset!$D$3*1.15))</f>
        <v>1104</v>
      </c>
    </row>
    <row r="15" spans="1:12" x14ac:dyDescent="0.3">
      <c r="A15" s="51" t="s">
        <v>64</v>
      </c>
      <c r="B15" s="35" t="s">
        <v>65</v>
      </c>
      <c r="C15" s="9" t="s">
        <v>354</v>
      </c>
      <c r="D15" s="38" t="s">
        <v>66</v>
      </c>
      <c r="E15" s="7">
        <f t="shared" ca="1" si="0"/>
        <v>39380</v>
      </c>
      <c r="F15" s="11" t="s">
        <v>67</v>
      </c>
      <c r="G15" s="10" t="s">
        <v>68</v>
      </c>
      <c r="H15" s="10" t="s">
        <v>30</v>
      </c>
      <c r="I15" s="10" t="s">
        <v>10</v>
      </c>
      <c r="J15" s="9" t="str">
        <f t="shared" si="1"/>
        <v>$120</v>
      </c>
      <c r="K15" s="9" t="s">
        <v>197</v>
      </c>
      <c r="L15" s="50">
        <f>IF(K15="Full",J15*Dataset!$D$3*0.9,IF(K15="Installment",J15*Dataset!$D$3*1.15))</f>
        <v>864</v>
      </c>
    </row>
    <row r="16" spans="1:12" x14ac:dyDescent="0.3">
      <c r="A16" s="51" t="s">
        <v>69</v>
      </c>
      <c r="B16" s="35" t="s">
        <v>70</v>
      </c>
      <c r="C16" s="9" t="s">
        <v>355</v>
      </c>
      <c r="D16" s="38" t="s">
        <v>71</v>
      </c>
      <c r="E16" s="7">
        <f t="shared" ca="1" si="0"/>
        <v>39118</v>
      </c>
      <c r="F16" s="12" t="s">
        <v>72</v>
      </c>
      <c r="G16" s="10" t="s">
        <v>77</v>
      </c>
      <c r="H16" s="10" t="s">
        <v>30</v>
      </c>
      <c r="I16" s="10" t="s">
        <v>10</v>
      </c>
      <c r="J16" s="9" t="str">
        <f t="shared" si="1"/>
        <v>$120</v>
      </c>
      <c r="K16" s="9" t="s">
        <v>197</v>
      </c>
      <c r="L16" s="50">
        <f>IF(K16="Full",J16*Dataset!$D$3*0.9,IF(K16="Installment",J16*Dataset!$D$3*1.15))</f>
        <v>864</v>
      </c>
    </row>
    <row r="17" spans="1:12" x14ac:dyDescent="0.3">
      <c r="A17" s="51" t="s">
        <v>362</v>
      </c>
      <c r="B17" s="35" t="s">
        <v>363</v>
      </c>
      <c r="C17" s="9" t="s">
        <v>354</v>
      </c>
      <c r="D17" s="38" t="s">
        <v>364</v>
      </c>
      <c r="E17" s="7">
        <f t="shared" ca="1" si="0"/>
        <v>39124</v>
      </c>
      <c r="F17" s="12" t="s">
        <v>365</v>
      </c>
      <c r="G17" s="10" t="s">
        <v>366</v>
      </c>
      <c r="H17" s="10" t="s">
        <v>13</v>
      </c>
      <c r="I17" s="10" t="s">
        <v>10</v>
      </c>
      <c r="J17" s="9" t="str">
        <f t="shared" si="1"/>
        <v>$120</v>
      </c>
      <c r="K17" s="9" t="s">
        <v>80</v>
      </c>
      <c r="L17" s="50">
        <f>IF(K17="Full",J17*Dataset!$D$3*0.9,IF(K17="Installment",J17*Dataset!$D$3*1.15))</f>
        <v>1104</v>
      </c>
    </row>
    <row r="18" spans="1:12" x14ac:dyDescent="0.3">
      <c r="A18" s="51" t="s">
        <v>74</v>
      </c>
      <c r="B18" s="35" t="s">
        <v>73</v>
      </c>
      <c r="C18" s="9" t="s">
        <v>354</v>
      </c>
      <c r="D18" s="38" t="s">
        <v>75</v>
      </c>
      <c r="E18" s="7">
        <f t="shared" ca="1" si="0"/>
        <v>39120</v>
      </c>
      <c r="F18" s="11" t="s">
        <v>76</v>
      </c>
      <c r="G18" s="10" t="s">
        <v>78</v>
      </c>
      <c r="H18" s="10" t="s">
        <v>19</v>
      </c>
      <c r="I18" s="10" t="s">
        <v>10</v>
      </c>
      <c r="J18" s="9" t="str">
        <f t="shared" si="1"/>
        <v>$120</v>
      </c>
      <c r="K18" s="9" t="s">
        <v>197</v>
      </c>
      <c r="L18" s="50">
        <f>IF(K18="Full",J18*Dataset!$D$3*0.9,IF(K18="Installment",J18*Dataset!$D$3*1.15))</f>
        <v>864</v>
      </c>
    </row>
    <row r="19" spans="1:12" x14ac:dyDescent="0.3">
      <c r="A19" s="63"/>
      <c r="B19" s="64"/>
      <c r="C19" s="64"/>
      <c r="D19" s="64"/>
      <c r="E19" s="64"/>
      <c r="F19" s="64"/>
      <c r="G19" s="64"/>
      <c r="H19" s="9"/>
      <c r="I19" s="9"/>
      <c r="J19" s="9"/>
      <c r="K19" s="33" t="s">
        <v>83</v>
      </c>
      <c r="L19" s="50">
        <f>SUM(L4:L18)</f>
        <v>14400</v>
      </c>
    </row>
    <row r="20" spans="1:12" ht="15" thickBot="1" x14ac:dyDescent="0.35">
      <c r="A20" s="65"/>
      <c r="B20" s="66"/>
      <c r="C20" s="66"/>
      <c r="D20" s="66"/>
      <c r="E20" s="66"/>
      <c r="F20" s="66"/>
      <c r="G20" s="66"/>
      <c r="H20" s="54" t="s">
        <v>84</v>
      </c>
      <c r="I20" s="55">
        <f>COUNTA(A4:A18)</f>
        <v>15</v>
      </c>
      <c r="J20" s="55"/>
      <c r="K20" s="55"/>
      <c r="L20" s="56"/>
    </row>
    <row r="23" spans="1:12" x14ac:dyDescent="0.3">
      <c r="D23" s="143" t="str">
        <f>$K$3</f>
        <v>Method Of Payment</v>
      </c>
    </row>
    <row r="24" spans="1:12" ht="15" thickBot="1" x14ac:dyDescent="0.35">
      <c r="D24" s="144" t="s">
        <v>197</v>
      </c>
    </row>
    <row r="25" spans="1:12" ht="15.6" x14ac:dyDescent="0.3">
      <c r="A25" s="43" t="s">
        <v>0</v>
      </c>
      <c r="B25" s="44" t="s">
        <v>1</v>
      </c>
      <c r="C25" s="45" t="s">
        <v>359</v>
      </c>
      <c r="D25" s="46" t="s">
        <v>2</v>
      </c>
      <c r="E25" s="45" t="s">
        <v>55</v>
      </c>
      <c r="F25" s="47" t="s">
        <v>3</v>
      </c>
      <c r="G25" s="45" t="s">
        <v>4</v>
      </c>
      <c r="H25" s="45" t="s">
        <v>5</v>
      </c>
      <c r="I25" s="45" t="s">
        <v>6</v>
      </c>
      <c r="J25" s="45" t="s">
        <v>358</v>
      </c>
      <c r="K25" s="45" t="s">
        <v>79</v>
      </c>
      <c r="L25" s="48" t="s">
        <v>82</v>
      </c>
    </row>
    <row r="26" spans="1:12" x14ac:dyDescent="0.3">
      <c r="A26" s="49" t="s">
        <v>7</v>
      </c>
      <c r="B26" s="34" t="s">
        <v>8</v>
      </c>
      <c r="C26" s="9" t="s">
        <v>355</v>
      </c>
      <c r="D26" s="37" t="s">
        <v>9</v>
      </c>
      <c r="E26" s="7">
        <v>39124</v>
      </c>
      <c r="F26" s="8" t="s">
        <v>11</v>
      </c>
      <c r="G26" s="6" t="s">
        <v>12</v>
      </c>
      <c r="H26" s="6" t="s">
        <v>13</v>
      </c>
      <c r="I26" s="6" t="s">
        <v>10</v>
      </c>
      <c r="J26" s="9" t="s">
        <v>379</v>
      </c>
      <c r="K26" s="9" t="s">
        <v>197</v>
      </c>
      <c r="L26" s="50">
        <v>864</v>
      </c>
    </row>
    <row r="27" spans="1:12" x14ac:dyDescent="0.3">
      <c r="A27" s="51" t="s">
        <v>15</v>
      </c>
      <c r="B27" s="35" t="s">
        <v>14</v>
      </c>
      <c r="C27" s="9" t="s">
        <v>354</v>
      </c>
      <c r="D27" s="38" t="s">
        <v>16</v>
      </c>
      <c r="E27" s="7">
        <v>39141</v>
      </c>
      <c r="F27" s="11" t="s">
        <v>17</v>
      </c>
      <c r="G27" s="10" t="s">
        <v>18</v>
      </c>
      <c r="H27" s="10" t="s">
        <v>19</v>
      </c>
      <c r="I27" s="10" t="s">
        <v>10</v>
      </c>
      <c r="J27" s="9" t="s">
        <v>379</v>
      </c>
      <c r="K27" s="9" t="s">
        <v>197</v>
      </c>
      <c r="L27" s="50">
        <v>864</v>
      </c>
    </row>
    <row r="28" spans="1:12" x14ac:dyDescent="0.3">
      <c r="A28" s="51" t="s">
        <v>32</v>
      </c>
      <c r="B28" s="36" t="s">
        <v>31</v>
      </c>
      <c r="C28" s="9" t="s">
        <v>355</v>
      </c>
      <c r="D28" s="38" t="s">
        <v>33</v>
      </c>
      <c r="E28" s="7">
        <v>39420</v>
      </c>
      <c r="F28" s="11" t="s">
        <v>34</v>
      </c>
      <c r="G28" s="10" t="s">
        <v>35</v>
      </c>
      <c r="H28" s="10" t="s">
        <v>13</v>
      </c>
      <c r="I28" s="6" t="s">
        <v>10</v>
      </c>
      <c r="J28" s="9" t="s">
        <v>379</v>
      </c>
      <c r="K28" s="9" t="s">
        <v>197</v>
      </c>
      <c r="L28" s="50">
        <v>864</v>
      </c>
    </row>
    <row r="29" spans="1:12" x14ac:dyDescent="0.3">
      <c r="A29" s="51" t="s">
        <v>36</v>
      </c>
      <c r="B29" s="35" t="s">
        <v>37</v>
      </c>
      <c r="C29" s="9" t="s">
        <v>354</v>
      </c>
      <c r="D29" s="38" t="s">
        <v>38</v>
      </c>
      <c r="E29" s="7">
        <v>39363</v>
      </c>
      <c r="F29" s="11" t="s">
        <v>39</v>
      </c>
      <c r="G29" s="10" t="s">
        <v>40</v>
      </c>
      <c r="H29" s="10" t="s">
        <v>30</v>
      </c>
      <c r="I29" s="10" t="s">
        <v>10</v>
      </c>
      <c r="J29" s="9" t="s">
        <v>379</v>
      </c>
      <c r="K29" s="9" t="s">
        <v>197</v>
      </c>
      <c r="L29" s="50">
        <v>864</v>
      </c>
    </row>
    <row r="30" spans="1:12" x14ac:dyDescent="0.3">
      <c r="A30" s="51" t="s">
        <v>36</v>
      </c>
      <c r="B30" s="35" t="s">
        <v>41</v>
      </c>
      <c r="C30" s="9" t="s">
        <v>354</v>
      </c>
      <c r="D30" s="38" t="s">
        <v>38</v>
      </c>
      <c r="E30" s="7">
        <v>39388</v>
      </c>
      <c r="F30" s="11" t="s">
        <v>39</v>
      </c>
      <c r="G30" s="10" t="s">
        <v>40</v>
      </c>
      <c r="H30" s="10" t="s">
        <v>30</v>
      </c>
      <c r="I30" s="10" t="s">
        <v>10</v>
      </c>
      <c r="J30" s="9" t="s">
        <v>379</v>
      </c>
      <c r="K30" s="9" t="s">
        <v>197</v>
      </c>
      <c r="L30" s="50">
        <v>864</v>
      </c>
    </row>
    <row r="31" spans="1:12" x14ac:dyDescent="0.3">
      <c r="A31" s="51" t="s">
        <v>52</v>
      </c>
      <c r="B31" s="35" t="s">
        <v>53</v>
      </c>
      <c r="C31" s="9" t="s">
        <v>355</v>
      </c>
      <c r="D31" s="38" t="s">
        <v>54</v>
      </c>
      <c r="E31" s="7">
        <v>39289</v>
      </c>
      <c r="F31" s="11" t="s">
        <v>56</v>
      </c>
      <c r="G31" s="10" t="s">
        <v>57</v>
      </c>
      <c r="H31" s="10" t="s">
        <v>30</v>
      </c>
      <c r="I31" s="10" t="s">
        <v>10</v>
      </c>
      <c r="J31" s="9" t="s">
        <v>379</v>
      </c>
      <c r="K31" s="9" t="s">
        <v>197</v>
      </c>
      <c r="L31" s="50">
        <v>864</v>
      </c>
    </row>
    <row r="32" spans="1:12" x14ac:dyDescent="0.3">
      <c r="A32" s="51" t="s">
        <v>64</v>
      </c>
      <c r="B32" s="35" t="s">
        <v>65</v>
      </c>
      <c r="C32" s="9" t="s">
        <v>354</v>
      </c>
      <c r="D32" s="38" t="s">
        <v>66</v>
      </c>
      <c r="E32" s="7">
        <v>39385</v>
      </c>
      <c r="F32" s="11" t="s">
        <v>67</v>
      </c>
      <c r="G32" s="10" t="s">
        <v>68</v>
      </c>
      <c r="H32" s="10" t="s">
        <v>30</v>
      </c>
      <c r="I32" s="10" t="s">
        <v>10</v>
      </c>
      <c r="J32" s="9" t="s">
        <v>379</v>
      </c>
      <c r="K32" s="9" t="s">
        <v>197</v>
      </c>
      <c r="L32" s="50">
        <v>864</v>
      </c>
    </row>
    <row r="33" spans="1:12" x14ac:dyDescent="0.3">
      <c r="A33" s="51" t="s">
        <v>69</v>
      </c>
      <c r="B33" s="35" t="s">
        <v>70</v>
      </c>
      <c r="C33" s="9" t="s">
        <v>355</v>
      </c>
      <c r="D33" s="38" t="s">
        <v>71</v>
      </c>
      <c r="E33" s="7">
        <v>39104</v>
      </c>
      <c r="F33" s="12" t="s">
        <v>72</v>
      </c>
      <c r="G33" s="10" t="s">
        <v>77</v>
      </c>
      <c r="H33" s="10" t="s">
        <v>30</v>
      </c>
      <c r="I33" s="10" t="s">
        <v>10</v>
      </c>
      <c r="J33" s="9" t="s">
        <v>379</v>
      </c>
      <c r="K33" s="9" t="s">
        <v>197</v>
      </c>
      <c r="L33" s="50">
        <v>864</v>
      </c>
    </row>
    <row r="34" spans="1:12" x14ac:dyDescent="0.3">
      <c r="A34" s="51" t="s">
        <v>74</v>
      </c>
      <c r="B34" s="35" t="s">
        <v>73</v>
      </c>
      <c r="C34" s="9" t="s">
        <v>354</v>
      </c>
      <c r="D34" s="38" t="s">
        <v>75</v>
      </c>
      <c r="E34" s="7">
        <v>39209</v>
      </c>
      <c r="F34" s="11" t="s">
        <v>76</v>
      </c>
      <c r="G34" s="10" t="s">
        <v>78</v>
      </c>
      <c r="H34" s="10" t="s">
        <v>19</v>
      </c>
      <c r="I34" s="10" t="s">
        <v>10</v>
      </c>
      <c r="J34" s="9" t="s">
        <v>379</v>
      </c>
      <c r="K34" s="9" t="s">
        <v>197</v>
      </c>
      <c r="L34" s="50">
        <v>864</v>
      </c>
    </row>
  </sheetData>
  <mergeCells count="1">
    <mergeCell ref="A1:L1"/>
  </mergeCells>
  <dataValidations count="1">
    <dataValidation type="date" allowBlank="1" showInputMessage="1" showErrorMessage="1" sqref="E1:E34 E37:E1048576">
      <formula1>38718</formula1>
      <formula2>39812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Dataset!$E$3:$E$4</xm:f>
          </x14:formula1>
          <xm:sqref>K1:K34 K37:K1048576</xm:sqref>
        </x14:dataValidation>
        <x14:dataValidation type="list" allowBlank="1" showInputMessage="1" showErrorMessage="1">
          <x14:formula1>
            <xm:f>Dataset!$C$3:$C$5</xm:f>
          </x14:formula1>
          <xm:sqref>H1:H34 H37:H1048576</xm:sqref>
        </x14:dataValidation>
        <x14:dataValidation type="list" allowBlank="1" showInputMessage="1" showErrorMessage="1">
          <x14:formula1>
            <xm:f>Dataset!$A$3:$A$4</xm:f>
          </x14:formula1>
          <xm:sqref>C1:C34 C37:C1048576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C2" sqref="C2"/>
    </sheetView>
  </sheetViews>
  <sheetFormatPr defaultRowHeight="14.4" x14ac:dyDescent="0.3"/>
  <cols>
    <col min="1" max="1" width="13.77734375" customWidth="1"/>
    <col min="2" max="2" width="10.6640625" bestFit="1" customWidth="1"/>
    <col min="3" max="3" width="16" bestFit="1" customWidth="1"/>
  </cols>
  <sheetData>
    <row r="1" spans="1:3" ht="18.600000000000001" thickBot="1" x14ac:dyDescent="0.4">
      <c r="A1" s="165" t="s">
        <v>386</v>
      </c>
      <c r="B1" s="165"/>
      <c r="C1" s="165"/>
    </row>
    <row r="2" spans="1:3" ht="16.8" thickTop="1" thickBot="1" x14ac:dyDescent="0.35">
      <c r="B2" s="149" t="s">
        <v>387</v>
      </c>
      <c r="C2" s="150" t="s">
        <v>388</v>
      </c>
    </row>
    <row r="3" spans="1:3" ht="15" thickTop="1" x14ac:dyDescent="0.3">
      <c r="A3" s="152" t="str">
        <f>Dataset!B3</f>
        <v>Football</v>
      </c>
      <c r="B3" s="153">
        <f>GETPIVOTDATA("Grand Total(TT)",'Pivot Table'!$A$3)</f>
        <v>14400</v>
      </c>
      <c r="C3" s="126">
        <f>Expenditure!J3</f>
        <v>20625</v>
      </c>
    </row>
    <row r="4" spans="1:3" x14ac:dyDescent="0.3">
      <c r="A4" s="154" t="str">
        <f>Dataset!B4</f>
        <v>Basketball</v>
      </c>
      <c r="B4" s="130">
        <f>GETPIVOTDATA("Grand Total(TT)",'Pivot Table'!$A$6)</f>
        <v>24000</v>
      </c>
      <c r="C4" s="130">
        <f>Expenditure!J4</f>
        <v>20625</v>
      </c>
    </row>
    <row r="5" spans="1:3" x14ac:dyDescent="0.3">
      <c r="A5" s="155" t="str">
        <f>Dataset!B5</f>
        <v>Netball</v>
      </c>
      <c r="B5" s="134">
        <f>GETPIVOTDATA("Grand Total(TT)",'Pivot Table'!$A$9)</f>
        <v>23310</v>
      </c>
      <c r="C5" s="134">
        <f>Expenditure!J5</f>
        <v>17875</v>
      </c>
    </row>
    <row r="6" spans="1:3" x14ac:dyDescent="0.3">
      <c r="A6" s="156" t="str">
        <f>Dataset!B6</f>
        <v>Hockey</v>
      </c>
      <c r="B6" s="138">
        <f>GETPIVOTDATA("Grand Total(TT)",'Pivot Table'!$A$12)</f>
        <v>27060</v>
      </c>
      <c r="C6" s="138">
        <f>Expenditure!J6</f>
        <v>16500</v>
      </c>
    </row>
    <row r="7" spans="1:3" ht="15" thickBot="1" x14ac:dyDescent="0.35">
      <c r="A7" s="157" t="str">
        <f>Dataset!B7</f>
        <v>Swimming</v>
      </c>
      <c r="B7" s="151">
        <f>GETPIVOTDATA("Grand Total(TT)",'Pivot Table'!$A$15)</f>
        <v>38359.999999999993</v>
      </c>
      <c r="C7" s="151">
        <f>Expenditure!J7</f>
        <v>17875</v>
      </c>
    </row>
    <row r="8" spans="1:3" ht="15" thickTop="1" x14ac:dyDescent="0.3"/>
  </sheetData>
  <mergeCells count="1">
    <mergeCell ref="A1:C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workbookViewId="0">
      <selection activeCell="F2" sqref="F2"/>
    </sheetView>
  </sheetViews>
  <sheetFormatPr defaultRowHeight="14.4" x14ac:dyDescent="0.3"/>
  <cols>
    <col min="3" max="3" width="11.33203125" customWidth="1"/>
    <col min="4" max="4" width="14.77734375" customWidth="1"/>
    <col min="5" max="5" width="15.77734375" customWidth="1"/>
    <col min="6" max="6" width="15.44140625" customWidth="1"/>
    <col min="7" max="7" width="14.88671875" customWidth="1"/>
    <col min="10" max="10" width="14.88671875" customWidth="1"/>
    <col min="12" max="12" width="10" customWidth="1"/>
  </cols>
  <sheetData>
    <row r="1" spans="1:13" ht="20.399999999999999" thickBot="1" x14ac:dyDescent="0.45">
      <c r="A1" s="166" t="s">
        <v>345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</row>
    <row r="2" spans="1:13" x14ac:dyDescent="0.3">
      <c r="A2" s="60" t="s">
        <v>346</v>
      </c>
      <c r="B2" s="61" t="s">
        <v>6</v>
      </c>
      <c r="C2" s="61" t="s">
        <v>5</v>
      </c>
      <c r="D2" s="61" t="s">
        <v>347</v>
      </c>
      <c r="E2" s="61" t="s">
        <v>348</v>
      </c>
      <c r="F2" s="61" t="s">
        <v>349</v>
      </c>
      <c r="G2" s="61" t="s">
        <v>340</v>
      </c>
      <c r="H2" s="61" t="s">
        <v>350</v>
      </c>
      <c r="I2" s="61" t="s">
        <v>341</v>
      </c>
      <c r="J2" s="61" t="s">
        <v>351</v>
      </c>
      <c r="K2" s="61" t="s">
        <v>342</v>
      </c>
      <c r="L2" s="61" t="s">
        <v>352</v>
      </c>
      <c r="M2" s="62" t="s">
        <v>353</v>
      </c>
    </row>
    <row r="3" spans="1:13" x14ac:dyDescent="0.3">
      <c r="A3" s="39" t="s">
        <v>354</v>
      </c>
      <c r="B3" s="1" t="s">
        <v>10</v>
      </c>
      <c r="C3" s="1" t="s">
        <v>13</v>
      </c>
      <c r="D3" s="2">
        <v>8</v>
      </c>
      <c r="E3" s="1" t="s">
        <v>197</v>
      </c>
      <c r="F3" s="1" t="s">
        <v>356</v>
      </c>
      <c r="G3" s="2">
        <v>100</v>
      </c>
      <c r="H3" s="2">
        <v>80</v>
      </c>
      <c r="I3" s="2">
        <v>190</v>
      </c>
      <c r="J3" s="2">
        <v>15</v>
      </c>
      <c r="K3" s="2">
        <v>30</v>
      </c>
      <c r="L3" s="2">
        <v>3000</v>
      </c>
      <c r="M3" s="40">
        <v>1800</v>
      </c>
    </row>
    <row r="4" spans="1:13" x14ac:dyDescent="0.3">
      <c r="A4" s="39" t="s">
        <v>355</v>
      </c>
      <c r="B4" s="1" t="s">
        <v>90</v>
      </c>
      <c r="C4" s="1" t="s">
        <v>30</v>
      </c>
      <c r="D4" s="1"/>
      <c r="E4" s="1" t="s">
        <v>80</v>
      </c>
      <c r="F4" s="1" t="s">
        <v>357</v>
      </c>
      <c r="G4" s="1"/>
      <c r="H4" s="1"/>
      <c r="I4" s="1"/>
      <c r="J4" s="1"/>
      <c r="K4" s="1"/>
      <c r="L4" s="1"/>
      <c r="M4" s="58"/>
    </row>
    <row r="5" spans="1:13" x14ac:dyDescent="0.3">
      <c r="A5" s="39"/>
      <c r="B5" s="1" t="s">
        <v>163</v>
      </c>
      <c r="C5" s="1" t="s">
        <v>19</v>
      </c>
      <c r="D5" s="1"/>
      <c r="E5" s="1"/>
      <c r="F5" s="1"/>
      <c r="G5" s="1"/>
      <c r="H5" s="1"/>
      <c r="I5" s="1"/>
      <c r="J5" s="1"/>
      <c r="K5" s="1"/>
      <c r="L5" s="1"/>
      <c r="M5" s="58"/>
    </row>
    <row r="6" spans="1:13" x14ac:dyDescent="0.3">
      <c r="A6" s="39"/>
      <c r="B6" s="1" t="s">
        <v>295</v>
      </c>
      <c r="C6" s="1"/>
      <c r="D6" s="1"/>
      <c r="E6" s="1"/>
      <c r="F6" s="1"/>
      <c r="G6" s="1"/>
      <c r="H6" s="1"/>
      <c r="I6" s="1"/>
      <c r="J6" s="1"/>
      <c r="K6" s="1"/>
      <c r="L6" s="1"/>
      <c r="M6" s="58"/>
    </row>
    <row r="7" spans="1:13" ht="15" thickBot="1" x14ac:dyDescent="0.35">
      <c r="A7" s="41"/>
      <c r="B7" s="42" t="s">
        <v>304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59"/>
    </row>
  </sheetData>
  <mergeCells count="1">
    <mergeCell ref="A1:M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11</vt:i4>
      </vt:variant>
      <vt:variant>
        <vt:lpstr>Charts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15" baseType="lpstr">
      <vt:lpstr>Football</vt:lpstr>
      <vt:lpstr>Basketball</vt:lpstr>
      <vt:lpstr>Netball</vt:lpstr>
      <vt:lpstr>Hockey</vt:lpstr>
      <vt:lpstr>Swimming</vt:lpstr>
      <vt:lpstr>Expenditure</vt:lpstr>
      <vt:lpstr>Simple Filter</vt:lpstr>
      <vt:lpstr>Pivot Table</vt:lpstr>
      <vt:lpstr>Advance Filter</vt:lpstr>
      <vt:lpstr>Income VS Expenditure</vt:lpstr>
      <vt:lpstr>Dataset</vt:lpstr>
      <vt:lpstr>Chart1</vt:lpstr>
      <vt:lpstr>Chart2</vt:lpstr>
      <vt:lpstr>'Advance Filter'!Criteria</vt:lpstr>
      <vt:lpstr>'Advance Filter'!Extract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2021-08-17T14:38:15Z</dcterms:created>
  <dcterms:modified xsi:type="dcterms:W3CDTF">2024-11-15T00:06:31Z</dcterms:modified>
</cp:coreProperties>
</file>